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F66B4F66-0E40-4B8B-9AD5-3710699F5F59}" xr6:coauthVersionLast="47" xr6:coauthVersionMax="47" xr10:uidLastSave="{00000000-0000-0000-0000-000000000000}"/>
  <bookViews>
    <workbookView xWindow="-120" yWindow="-120" windowWidth="29040" windowHeight="157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Y25" i="3" l="1"/>
  <c r="Y26" i="3"/>
  <c r="Y3" i="3"/>
  <c r="Y4" i="3"/>
  <c r="Y5" i="3"/>
  <c r="Y6" i="3"/>
  <c r="Y7" i="3"/>
  <c r="Y8" i="3"/>
  <c r="Y9" i="3"/>
  <c r="Y10" i="3"/>
  <c r="Y11" i="3"/>
  <c r="Y12" i="3"/>
  <c r="Y13" i="3"/>
  <c r="Y14" i="3"/>
  <c r="Y15" i="3"/>
  <c r="Y16" i="3"/>
  <c r="Y17" i="3"/>
  <c r="Y18" i="3"/>
  <c r="Y19" i="3"/>
  <c r="Y20" i="3"/>
  <c r="Y21" i="3"/>
  <c r="Y22" i="3"/>
  <c r="Y23" i="3"/>
  <c r="Y24" i="3"/>
  <c r="Z26" i="3"/>
  <c r="Z25" i="3"/>
  <c r="BB24" i="3" l="1"/>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W8" i="3"/>
  <c r="BB7" i="3"/>
  <c r="Z7" i="3" a="1"/>
  <c r="Z7" i="3" s="1"/>
  <c r="W7" i="3"/>
  <c r="BB6" i="3"/>
  <c r="Z6" i="3" a="1"/>
  <c r="Z6" i="3" s="1"/>
  <c r="W6" i="3"/>
  <c r="BB5" i="3"/>
  <c r="Z5" i="3" a="1"/>
  <c r="Z5" i="3" s="1"/>
  <c r="W5" i="3"/>
  <c r="BB4" i="3"/>
  <c r="Z4" i="3" a="1"/>
  <c r="Z4" i="3" s="1"/>
  <c r="W4"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<sst xmlns="http://schemas.openxmlformats.org/spreadsheetml/2006/main" count="915" uniqueCount="521">
  <si>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</si>
  <si>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</si>
  <si>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</si>
  <si>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</si>
  <si>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</si>
  <si>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</si>
  <si>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</si>
  <si>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</si>
  <si>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</si>
  <si>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</si>
  <si>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</si>
  <si>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</si>
  <si>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</si>
  <si>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</si>
  <si>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</si>
  <si>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</si>
  <si>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</si>
  <si>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</si>
  <si>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</si>
  <si>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</si>
  <si>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</si>
  <si>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</si>
  <si>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</si>
  <si>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</si>
  <si>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</si>
  <si>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</si>
  <si>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</si>
  <si>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</si>
  <si>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</si>
  <si>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</si>
  <si>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</si>
  <si>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</si>
  <si>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</si>
  <si>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</si>
  <si>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</si>
  <si>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</si>
  <si>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</si>
  <si>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</si>
  <si>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</si>
  <si>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</si>
  <si>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</si>
  <si>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</si>
  <si>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</si>
  <si>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</si>
  <si>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</si>
  <si>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</si>
  <si>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</si>
  <si>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</si>
  <si>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</si>
  <si>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</si>
  <si>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</si>
  <si>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</si>
  <si>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</si>
  <si>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</si>
  <si>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</si>
  <si>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</si>
  <si>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</si>
  <si>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</si>
  <si>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</si>
  <si>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</si>
  <si>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</si>
  <si>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</si>
  <si>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</si>
  <si>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</si>
  <si>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</si>
  <si>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</si>
  <si>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</si>
  <si>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</si>
  <si>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</si>
  <si>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</si>
  <si>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</si>
  <si>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</si>
  <si>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</si>
  <si>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</si>
  <si>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</si>
  <si>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</si>
  <si>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</si>
  <si>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</si>
  <si>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</si>
  <si>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</si>
  <si>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</si>
  <si>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</si>
  <si>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</si>
  <si>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</si>
  <si>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</si>
  <si>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</si>
  <si>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</si>
  <si>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</si>
  <si>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</si>
  <si>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</si>
  <si>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</si>
  <si>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</si>
  <si>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</si>
  <si>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</si>
  <si>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</si>
  <si>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</si>
  <si>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</si>
  <si>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</si>
  <si>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</si>
  <si>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</si>
  <si>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</si>
  <si>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</si>
  <si>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</si>
  <si>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</si>
  <si>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</si>
  <si>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</si>
  <si>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</si>
  <si>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</si>
  <si>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</si>
  <si>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</si>
  <si>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</si>
  <si>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</si>
  <si>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</si>
  <si>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</si>
  <si>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</si>
  <si>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</si>
  <si>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</si>
  <si>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</si>
  <si>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</si>
  <si>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</si>
  <si>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</si>
  <si>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</si>
  <si>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</si>
  <si>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</si>
  <si>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</si>
  <si>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</si>
  <si>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</si>
  <si>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</si>
  <si>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</si>
  <si>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</si>
  <si>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</si>
  <si>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</si>
  <si>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</si>
  <si>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</si>
  <si>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</si>
  <si>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</si>
  <si>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</si>
  <si>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</si>
  <si>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</si>
  <si>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</si>
  <si>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</si>
  <si>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</si>
  <si>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</si>
  <si>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</si>
  <si>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</si>
  <si>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</si>
  <si>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</si>
  <si>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</si>
  <si>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</si>
  <si>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</si>
  <si>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</si>
  <si>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</si>
  <si>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</si>
  <si>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</si>
  <si>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</si>
  <si>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</si>
  <si>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</si>
  <si>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</si>
  <si>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</si>
  <si>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</si>
  <si>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</si>
  <si>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</si>
  <si>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</si>
  <si>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</si>
  <si>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</si>
  <si>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</si>
  <si>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</si>
  <si>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</si>
  <si>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</si>
  <si>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</si>
  <si>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</si>
  <si>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</si>
  <si>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</si>
  <si>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</si>
  <si>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</si>
  <si>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</si>
  <si>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</si>
  <si>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</si>
  <si>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</si>
  <si>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</si>
  <si>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</si>
  <si>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</si>
  <si>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</si>
  <si>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</si>
  <si>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</si>
  <si>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</si>
  <si>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</si>
  <si>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</si>
  <si>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</si>
  <si>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</si>
  <si>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</si>
  <si>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</si>
  <si>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</si>
  <si>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</si>
  <si>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</si>
  <si>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</si>
  <si>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</si>
  <si>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</si>
  <si>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</si>
  <si>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</si>
  <si>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</si>
  <si>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</si>
  <si>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</si>
  <si>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</si>
  <si>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</si>
  <si>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</si>
  <si>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</si>
  <si>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</si>
  <si>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</si>
  <si>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</si>
  <si>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</si>
  <si>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</si>
  <si>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</si>
  <si>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</si>
  <si>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</si>
  <si>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</si>
  <si>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</si>
  <si>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</si>
  <si>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</si>
  <si>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</si>
  <si>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</si>
  <si>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</si>
  <si>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</si>
  <si>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</si>
  <si>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</si>
  <si>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</si>
  <si>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</si>
  <si>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</si>
  <si>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</si>
  <si>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</si>
  <si>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</si>
  <si>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</si>
  <si>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</si>
  <si>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</si>
  <si>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</si>
  <si>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</si>
  <si>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</si>
  <si>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</si>
  <si>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</si>
  <si>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</si>
  <si>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</si>
  <si>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</si>
  <si>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</si>
  <si>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</si>
  <si>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</si>
  <si>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</si>
  <si>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</si>
  <si>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</si>
  <si>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</si>
  <si>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</si>
  <si>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</si>
  <si>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</si>
  <si>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</si>
  <si>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</si>
  <si>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</si>
  <si>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</si>
  <si>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</si>
  <si>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</si>
  <si>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</si>
  <si>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</si>
  <si>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</si>
  <si>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</si>
  <si>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</si>
  <si>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</si>
  <si>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</si>
  <si>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</si>
  <si>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</si>
  <si>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</si>
  <si>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</si>
  <si>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</si>
  <si>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</si>
  <si>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</si>
  <si>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</si>
  <si>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</si>
  <si>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</si>
  <si>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</si>
  <si>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</si>
  <si>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</si>
  <si>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</si>
  <si>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</si>
  <si>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</si>
  <si>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</si>
  <si>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</si>
  <si>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</si>
  <si>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</si>
  <si>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</si>
  <si>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</si>
  <si>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</si>
  <si>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</si>
  <si>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</si>
  <si>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</si>
  <si>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</si>
  <si>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</si>
  <si>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</si>
  <si>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</si>
  <si>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</si>
  <si>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</si>
  <si>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</si>
  <si>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</si>
  <si>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</si>
  <si>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</si>
  <si>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</si>
  <si>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</si>
  <si>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</si>
  <si>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</si>
  <si>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</si>
  <si>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</si>
  <si>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</si>
  <si>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</si>
  <si>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</si>
  <si>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</si>
  <si>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</si>
  <si>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</si>
  <si>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</si>
  <si>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</si>
  <si>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</si>
  <si>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</si>
  <si>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</si>
  <si>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</si>
  <si>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</si>
  <si>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</si>
  <si>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</si>
  <si>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</si>
  <si>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</si>
  <si>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</si>
  <si>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</si>
  <si>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</si>
  <si>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</si>
  <si>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</si>
  <si>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</si>
  <si>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</si>
  <si>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</si>
  <si>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</si>
  <si>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</si>
  <si>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</si>
  <si>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</si>
  <si>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</si>
  <si>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</si>
  <si>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</si>
  <si>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</si>
  <si>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</si>
  <si>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</si>
  <si>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</si>
  <si>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</si>
  <si>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</si>
  <si>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</si>
  <si>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</si>
  <si>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</si>
  <si>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</si>
  <si>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</si>
  <si>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</si>
  <si>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</si>
  <si>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</si>
  <si>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</si>
  <si>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</si>
  <si>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</si>
  <si>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</si>
  <si>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</si>
  <si>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</si>
  <si>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</si>
  <si>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</si>
  <si>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</si>
  <si>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</si>
  <si>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</si>
  <si>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</si>
  <si>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</si>
  <si>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</si>
  <si>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</si>
  <si>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</si>
  <si>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</si>
  <si>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</si>
  <si>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</si>
  <si>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</si>
  <si>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</si>
  <si>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</si>
  <si>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</si>
  <si>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</si>
  <si>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</si>
  <si>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</si>
  <si>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</si>
  <si>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</si>
  <si>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</si>
  <si>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</si>
  <si>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</si>
  <si>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</si>
  <si>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</si>
  <si>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</si>
  <si>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</si>
  <si>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</si>
  <si>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</si>
  <si>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</si>
  <si>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</si>
  <si>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</si>
  <si>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</si>
  <si>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</si>
  <si>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</si>
  <si>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</si>
  <si>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</si>
  <si>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</si>
  <si>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</si>
  <si>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</si>
  <si>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</si>
  <si>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</si>
  <si>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</si>
  <si>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</si>
  <si>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</si>
  <si>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</si>
  <si>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</si>
  <si>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</si>
  <si>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</si>
  <si>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</si>
  <si>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</si>
  <si>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</si>
  <si>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</si>
  <si>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</si>
  <si>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</si>
  <si>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</si>
  <si>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</si>
  <si>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</si>
  <si>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</si>
  <si>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</si>
  <si>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</si>
  <si>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</si>
  <si>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</si>
  <si>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</si>
  <si>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</si>
  <si>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</si>
  <si>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</si>
  <si>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</si>
  <si>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</si>
  <si>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</si>
  <si>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</si>
  <si>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</si>
  <si>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</si>
  <si>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</si>
  <si>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</si>
  <si>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</si>
  <si>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</si>
  <si>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</si>
  <si>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</si>
  <si>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</si>
  <si>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</si>
  <si>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</si>
  <si>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</si>
  <si>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</si>
  <si>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</si>
  <si>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</si>
  <si>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</si>
  <si>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</si>
  <si>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</si>
  <si>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</si>
  <si>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</si>
  <si>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</si>
  <si>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</si>
  <si>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</si>
  <si>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</si>
  <si>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</si>
  <si>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</si>
  <si>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</si>
  <si>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</si>
  <si>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</si>
  <si>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</si>
  <si>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</si>
  <si>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</si>
  <si>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</si>
  <si>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</si>
  <si>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</si>
  <si>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</si>
  <si>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</si>
  <si>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</si>
  <si>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</si>
  <si>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</si>
  <si>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</si>
  <si>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</si>
  <si>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t>
  </si>
  <si>
    <t>SHORE1_Total_Active_Power</t>
  </si>
  <si>
    <t>SHORE1_Total_Power_Factor</t>
  </si>
  <si>
    <t>Hydro</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</si>
  <si>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</si>
  <si>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</si>
  <si>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</si>
  <si>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</si>
  <si>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</si>
  <si>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</si>
  <si>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</si>
  <si>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</si>
  <si>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</si>
  <si>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</si>
  <si>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</si>
  <si>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</si>
  <si>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</si>
  <si>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</si>
  <si>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</si>
  <si>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</si>
  <si>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</si>
  <si>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</si>
  <si>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</si>
  <si>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</si>
  <si>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</si>
  <si>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</si>
  <si>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</si>
  <si>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</si>
  <si>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</si>
  <si>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</si>
  <si>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</si>
  <si>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</si>
  <si>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</si>
  <si>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</si>
  <si>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</si>
  <si>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</si>
  <si>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+CB.1</t>
  </si>
  <si>
    <t>Mqtt1</t>
  </si>
  <si>
    <t/>
  </si>
  <si>
    <t>R2.8</t>
  </si>
  <si>
    <t>450000 24VDC SYSTEM</t>
  </si>
  <si>
    <t>V</t>
  </si>
  <si>
    <t>A</t>
  </si>
  <si>
    <t>DB_GEN_SERVICE_14E1_VOLTAGE</t>
  </si>
  <si>
    <t>DB_GEN_SERVICE_14E1_CURRENT</t>
  </si>
  <si>
    <t>24 Vdc DB General Serivce 14E1 Voltage Measurement</t>
  </si>
  <si>
    <t>24 Vdc DB General Service 14E1 Current Measurement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</si>
</sst>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19"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s>
  <fills count="12">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36">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5" fillId="0" borderId="10" xfId="0" applyFont="1" applyBorder="1"/>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0" xfId="0" applyFont="1" applyBorder="1" applyAlignment="1">
      <alignment horizontal="right" textRotation="90"/>
    </xf>
    <xf numFmtId="0" fontId="5" fillId="0" borderId="11" xfId="0" applyFont="1" applyBorder="1" applyAlignment="1">
      <alignment horizontal="right" textRotation="90"/>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5" fillId="0" borderId="11" xfId="0" applyFont="1" applyBorder="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10" xfId="0" applyFont="1" applyBorder="1" applyAlignment="1">
      <alignment horizontal="center" textRotation="90"/>
    </xf>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9" xfId="0" applyFont="1" applyBorder="1" applyAlignment="1">
      <alignment horizontal="center"/>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11" fillId="0" borderId="15" xfId="0" applyFont="1" applyBorder="1" applyAlignment="1">
      <alignment vertical="top" wrapText="1"/>
    </xf>
    <xf numFmtId="0" fontId="8" fillId="0" borderId="22" xfId="0" applyFont="1" applyBorder="1" applyAlignment="1">
      <alignment vertical="top" wrapText="1"/>
    </xf>
    <xf numFmtId="0" fontId="8" fillId="0" borderId="18" xfId="0" applyFont="1" applyBorder="1" applyAlignment="1">
      <alignmen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10" fillId="2" borderId="15" xfId="0" applyFont="1" applyFill="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8979"/>
  <sheetViews>
    <sheetView tabSelected="1" topLeftCell="J1" zoomScale="85" zoomScaleNormal="85" workbookViewId="0">
      <pane ySplit="2" topLeftCell="A3" activePane="bottomLeft" state="frozen"/>
      <selection activeCell="E1" sqref="E1"/>
      <selection pane="bottomLeft" activeCell="Y25" sqref="Y25"/>
    </sheetView>
  </sheetViews>
  <sheetFormatPr defaultColWidth="8.85546875" defaultRowHeight="15" x14ac:dyDescent="0.25"/>
  <cols>
    <col min="1" max="1" width="9.7109375" style="51" customWidth="1"/>
    <col min="2" max="2" width="13.28515625" style="53" customWidth="1"/>
    <col min="3" max="3" width="18" style="54" customWidth="1"/>
    <col min="4" max="4" width="20" style="54" customWidth="1"/>
    <col min="5" max="5" width="8.140625" style="54" customWidth="1"/>
    <col min="6" max="6" width="16.85546875" style="54" customWidth="1"/>
    <col min="7" max="7" width="7.28515625" style="54" customWidth="1"/>
    <col min="8" max="8" width="6.85546875" style="54" customWidth="1"/>
    <col min="9" max="9" width="6.85546875" style="10" customWidth="1"/>
    <col min="10" max="10" width="49.7109375" style="11" customWidth="1"/>
    <col min="11" max="11" width="21.7109375" style="58"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2.42578125" customWidth="1"/>
    <col min="25" max="25" width="48.28515625" customWidth="1"/>
    <col min="26" max="26" width="48.7109375"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26" t="s">
        <v>47</v>
      </c>
      <c r="B1" s="106" t="s">
        <v>48</v>
      </c>
      <c r="C1" s="106" t="s">
        <v>49</v>
      </c>
      <c r="D1" s="106" t="s">
        <v>50</v>
      </c>
      <c r="E1" s="106" t="s">
        <v>51</v>
      </c>
      <c r="F1" s="106" t="s">
        <v>52</v>
      </c>
      <c r="G1" s="106" t="s">
        <v>53</v>
      </c>
      <c r="H1" s="110" t="s">
        <v>54</v>
      </c>
      <c r="I1" s="122" t="s">
        <v>55</v>
      </c>
      <c r="J1" s="115" t="s">
        <v>56</v>
      </c>
      <c r="K1" s="123" t="s">
        <v>3</v>
      </c>
      <c r="L1" s="124" t="s">
        <v>64</v>
      </c>
      <c r="M1" s="125"/>
      <c r="N1" s="106" t="s">
        <v>57</v>
      </c>
      <c r="O1" s="106" t="s">
        <v>58</v>
      </c>
      <c r="P1" s="106" t="s">
        <v>59</v>
      </c>
      <c r="Q1" s="106" t="s">
        <v>60</v>
      </c>
      <c r="R1" s="106" t="s">
        <v>61</v>
      </c>
      <c r="S1" s="106" t="s">
        <v>62</v>
      </c>
      <c r="T1" s="113" t="s">
        <v>63</v>
      </c>
      <c r="U1" s="113"/>
      <c r="V1" s="113"/>
      <c r="W1" s="116" t="s">
        <v>438</v>
      </c>
      <c r="X1" s="117"/>
      <c r="Y1" s="117"/>
      <c r="Z1" s="118"/>
      <c r="AA1" s="114" t="s">
        <v>27</v>
      </c>
      <c r="AB1" s="114"/>
      <c r="AC1" s="114"/>
      <c r="AD1" s="114"/>
      <c r="AE1" s="114"/>
      <c r="AF1" s="114"/>
      <c r="AG1" s="114"/>
      <c r="AH1" s="114"/>
      <c r="AI1" s="119" t="s">
        <v>65</v>
      </c>
      <c r="AJ1" s="119"/>
      <c r="AK1" s="115" t="s">
        <v>66</v>
      </c>
      <c r="AL1" s="115" t="s">
        <v>67</v>
      </c>
      <c r="AM1" s="112" t="s">
        <v>68</v>
      </c>
      <c r="AN1" s="121" t="s">
        <v>69</v>
      </c>
      <c r="AO1" s="121"/>
      <c r="AP1" s="121"/>
      <c r="AQ1" s="121"/>
      <c r="AR1" s="121"/>
      <c r="AS1" s="106" t="s">
        <v>70</v>
      </c>
      <c r="AT1" s="106" t="s">
        <v>71</v>
      </c>
      <c r="AU1" s="106" t="s">
        <v>72</v>
      </c>
      <c r="AV1" s="106" t="s">
        <v>73</v>
      </c>
      <c r="AW1" s="120" t="s">
        <v>74</v>
      </c>
      <c r="AX1" s="109" t="s">
        <v>75</v>
      </c>
      <c r="AY1" s="110" t="s">
        <v>76</v>
      </c>
      <c r="AZ1" s="110" t="s">
        <v>77</v>
      </c>
      <c r="BA1" s="110" t="s">
        <v>78</v>
      </c>
      <c r="BB1" s="110" t="s">
        <v>79</v>
      </c>
      <c r="BC1" s="108" t="s">
        <v>80</v>
      </c>
      <c r="BD1" s="108"/>
      <c r="BE1" s="108"/>
      <c r="BF1" s="108" t="s">
        <v>81</v>
      </c>
      <c r="BG1" s="108"/>
      <c r="BH1" s="108"/>
      <c r="BI1" s="108" t="s">
        <v>82</v>
      </c>
      <c r="BJ1" s="108"/>
      <c r="BK1" s="108"/>
      <c r="BL1" s="108" t="s">
        <v>83</v>
      </c>
      <c r="BM1" s="108"/>
      <c r="BN1" s="108"/>
      <c r="BO1" s="108" t="s">
        <v>84</v>
      </c>
      <c r="BP1" s="108"/>
      <c r="BQ1" s="108"/>
      <c r="BR1" s="112" t="s">
        <v>85</v>
      </c>
      <c r="BS1" s="110" t="s">
        <v>86</v>
      </c>
      <c r="BT1" s="111" t="s">
        <v>87</v>
      </c>
      <c r="BU1" s="107" t="s">
        <v>88</v>
      </c>
      <c r="BV1" s="107" t="s">
        <v>89</v>
      </c>
    </row>
    <row r="2" spans="1:74" ht="124.5" customHeight="1" x14ac:dyDescent="0.25">
      <c r="A2" s="126"/>
      <c r="B2" s="106"/>
      <c r="C2" s="106"/>
      <c r="D2" s="106"/>
      <c r="E2" s="106"/>
      <c r="F2" s="106"/>
      <c r="G2" s="106"/>
      <c r="H2" s="110"/>
      <c r="I2" s="122"/>
      <c r="J2" s="115"/>
      <c r="K2" s="123"/>
      <c r="L2" s="97" t="s">
        <v>93</v>
      </c>
      <c r="M2" s="97" t="s">
        <v>94</v>
      </c>
      <c r="N2" s="106"/>
      <c r="O2" s="106"/>
      <c r="P2" s="106"/>
      <c r="Q2" s="106"/>
      <c r="R2" s="106"/>
      <c r="S2" s="106"/>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15"/>
      <c r="AL2" s="115"/>
      <c r="AM2" s="112"/>
      <c r="AN2" s="18" t="s">
        <v>103</v>
      </c>
      <c r="AO2" s="18" t="s">
        <v>104</v>
      </c>
      <c r="AP2" s="18" t="s">
        <v>105</v>
      </c>
      <c r="AQ2" s="18" t="s">
        <v>106</v>
      </c>
      <c r="AR2" s="18" t="s">
        <v>107</v>
      </c>
      <c r="AS2" s="106"/>
      <c r="AT2" s="106"/>
      <c r="AU2" s="106"/>
      <c r="AV2" s="106"/>
      <c r="AW2" s="120"/>
      <c r="AX2" s="109"/>
      <c r="AY2" s="110"/>
      <c r="AZ2" s="110"/>
      <c r="BA2" s="110"/>
      <c r="BB2" s="110"/>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2"/>
      <c r="BS2" s="110"/>
      <c r="BT2" s="111"/>
      <c r="BU2" s="107"/>
      <c r="BV2" s="107"/>
    </row>
    <row r="3" spans="1:74" ht="15.75" x14ac:dyDescent="0.25">
      <c r="A3" s="50" t="s">
        <v>509</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"marpower/pvt/" &amp; LOWER(_xlfn.REGEXREPLACE(_xlfn.REGEXREPLACE(_xlfn.REGEXREPLACE(TRIM(_xlfn.REGEXREPLACE(P3, " (RMS (Current|Voltage) .+)|(Active Power Phase [ABC])|(Total Active Power)|(Power Factor .+)|(Total Power Factor) *", "")), "[ /\(\)&amp;:\.#]", "-"), "\-+", "-"), "-$", ""))</f>
        <v>marpower/pvt/pvt1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509</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marpower/pvt/pvt1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509</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marpower/pvt/pvt2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509</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marpower/pvt/pvt2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509</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marpower/pvt/pvt3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509</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marpower/pvt/pvt3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509</v>
      </c>
      <c r="B9" s="52"/>
      <c r="C9" s="7" t="s">
        <v>118</v>
      </c>
      <c r="D9" s="7" t="s">
        <v>474</v>
      </c>
      <c r="E9" s="7"/>
      <c r="F9" s="55"/>
      <c r="G9" s="6"/>
      <c r="H9" s="6"/>
      <c r="I9" s="10" t="s">
        <v>110</v>
      </c>
      <c r="J9" s="11" t="s">
        <v>475</v>
      </c>
      <c r="K9" s="102" t="s">
        <v>377</v>
      </c>
      <c r="L9" s="98"/>
      <c r="M9" s="98">
        <v>1000</v>
      </c>
      <c r="N9" s="60" t="s">
        <v>474</v>
      </c>
      <c r="O9" s="88"/>
      <c r="P9" s="60" t="s">
        <v>472</v>
      </c>
      <c r="Q9" s="60"/>
      <c r="R9" s="60"/>
      <c r="S9" s="89"/>
      <c r="T9" s="87"/>
      <c r="U9" s="90"/>
      <c r="V9" s="91"/>
      <c r="W9" s="12" t="str">
        <f t="shared" si="5"/>
        <v>Mqtt1</v>
      </c>
      <c r="X9" s="103"/>
      <c r="Y9" s="6" t="str">
        <f>"marpower/shore/" &amp; LOWER(_xlfn.REGEXREPLACE(_xlfn.REGEXREPLACE(_xlfn.REGEXREPLACE(TRIM(_xlfn.REGEXREPLACE(P9, " (RMS (Current|Voltage) .+)|(Active Power Phase [ABC])|(Total Active Power)|(Power Factor .+)|(Total Power Factor) *", "")), "[ /\(\)&amp;:\.#]", "-"), "\-+", "-"), "-$", ""))</f>
        <v>marpower/shore/shore-power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509</v>
      </c>
      <c r="B10" s="52"/>
      <c r="C10" s="7" t="s">
        <v>118</v>
      </c>
      <c r="D10" s="7" t="s">
        <v>474</v>
      </c>
      <c r="E10" s="7"/>
      <c r="F10" s="55"/>
      <c r="G10" s="6"/>
      <c r="H10" s="6"/>
      <c r="I10" s="10" t="s">
        <v>110</v>
      </c>
      <c r="J10" s="11" t="s">
        <v>476</v>
      </c>
      <c r="K10" s="102" t="s">
        <v>377</v>
      </c>
      <c r="L10" s="98"/>
      <c r="M10" s="98">
        <v>1000</v>
      </c>
      <c r="N10" s="60" t="s">
        <v>474</v>
      </c>
      <c r="O10" s="88"/>
      <c r="P10" s="60" t="s">
        <v>473</v>
      </c>
      <c r="Q10" s="60"/>
      <c r="R10" s="60"/>
      <c r="S10" s="89"/>
      <c r="T10" s="87"/>
      <c r="U10" s="90"/>
      <c r="V10" s="91"/>
      <c r="W10" s="12" t="str">
        <f t="shared" si="5"/>
        <v>Mqtt1</v>
      </c>
      <c r="X10" s="103"/>
      <c r="Y10" s="6" t="str">
        <f>"marpower/shore/" &amp; LOWER(_xlfn.REGEXREPLACE(_xlfn.REGEXREPLACE(_xlfn.REGEXREPLACE(TRIM(_xlfn.REGEXREPLACE(P10, " (RMS (Current|Voltage) .+)|(Active Power Phase [ABC])|(Total Active Power)|(Power Factor .+)|(Total Power Factor) *", "")), "[ /\(\)&amp;:\.#]", "-"), "\-+", "-"), "-$", ""))</f>
        <v>marpower/shore/shore-power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509</v>
      </c>
      <c r="B11" s="52"/>
      <c r="C11" s="7" t="s">
        <v>118</v>
      </c>
      <c r="D11" s="7" t="s">
        <v>477</v>
      </c>
      <c r="E11" s="7"/>
      <c r="F11" s="55"/>
      <c r="G11" s="6"/>
      <c r="H11" s="6"/>
      <c r="I11" s="10" t="s">
        <v>110</v>
      </c>
      <c r="J11" s="11" t="s">
        <v>478</v>
      </c>
      <c r="K11" s="102" t="s">
        <v>377</v>
      </c>
      <c r="L11" s="98"/>
      <c r="M11" s="98">
        <v>1000</v>
      </c>
      <c r="N11" s="60" t="s">
        <v>477</v>
      </c>
      <c r="O11" s="88"/>
      <c r="P11" s="60" t="s">
        <v>482</v>
      </c>
      <c r="Q11" s="60"/>
      <c r="R11" s="60"/>
      <c r="S11" s="89"/>
      <c r="T11" s="87"/>
      <c r="U11" s="90"/>
      <c r="V11" s="91"/>
      <c r="W11" s="12" t="str">
        <f t="shared" si="5"/>
        <v>Mqtt1</v>
      </c>
      <c r="X11" s="103"/>
      <c r="Y11" s="6" t="str">
        <f>"marpower/hydro/" &amp; LOWER(_xlfn.REGEXREPLACE(_xlfn.REGEXREPLACE(_xlfn.REGEXREPLACE(TRIM(_xlfn.REGEXREPLACE(P11, " (RMS (Current|Voltage) .+)|(Active Power Phase [ABC])|(Total Active Power)|(Power Factor .+)|(Total Power Factor) *", "")), "[ /\(\)&amp;:\.#]", "-"), "\-+", "-"), "-$", ""))</f>
        <v>marpower/hydro/thruster1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509</v>
      </c>
      <c r="B12" s="52"/>
      <c r="C12" s="7" t="s">
        <v>118</v>
      </c>
      <c r="D12" s="7" t="s">
        <v>477</v>
      </c>
      <c r="E12" s="7"/>
      <c r="F12" s="55"/>
      <c r="G12" s="6"/>
      <c r="H12" s="6"/>
      <c r="I12" s="10" t="s">
        <v>110</v>
      </c>
      <c r="J12" s="11" t="s">
        <v>479</v>
      </c>
      <c r="K12" s="102" t="s">
        <v>377</v>
      </c>
      <c r="L12" s="98"/>
      <c r="M12" s="98">
        <v>1000</v>
      </c>
      <c r="N12" s="60" t="s">
        <v>477</v>
      </c>
      <c r="O12" s="88"/>
      <c r="P12" s="60" t="s">
        <v>483</v>
      </c>
      <c r="Q12" s="60"/>
      <c r="R12" s="60"/>
      <c r="S12" s="89"/>
      <c r="T12" s="87"/>
      <c r="U12" s="90"/>
      <c r="V12" s="91"/>
      <c r="W12" s="12" t="str">
        <f t="shared" si="5"/>
        <v>Mqtt1</v>
      </c>
      <c r="X12" s="103"/>
      <c r="Y12" s="6" t="str">
        <f>"marpower/hydro/" &amp; LOWER(_xlfn.REGEXREPLACE(_xlfn.REGEXREPLACE(_xlfn.REGEXREPLACE(TRIM(_xlfn.REGEXREPLACE(P12, " (RMS (Current|Voltage) .+)|(Active Power Phase [ABC])|(Total Active Power)|(Power Factor .+)|(Total Power Factor) *", "")), "[ /\(\)&amp;:\.#]", "-"), "\-+", "-"), "-$", ""))</f>
        <v>marpower/hydro/thruster1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509</v>
      </c>
      <c r="B13" s="52"/>
      <c r="C13" s="7" t="s">
        <v>118</v>
      </c>
      <c r="D13" s="7" t="s">
        <v>477</v>
      </c>
      <c r="E13" s="7"/>
      <c r="F13" s="55"/>
      <c r="G13" s="6"/>
      <c r="H13" s="6"/>
      <c r="I13" s="10" t="s">
        <v>110</v>
      </c>
      <c r="J13" s="11" t="s">
        <v>480</v>
      </c>
      <c r="K13" s="102" t="s">
        <v>377</v>
      </c>
      <c r="L13" s="98"/>
      <c r="M13" s="98">
        <v>1000</v>
      </c>
      <c r="N13" s="60" t="s">
        <v>477</v>
      </c>
      <c r="O13" s="88"/>
      <c r="P13" s="60" t="s">
        <v>484</v>
      </c>
      <c r="Q13" s="60"/>
      <c r="R13" s="60"/>
      <c r="S13" s="89"/>
      <c r="T13" s="87"/>
      <c r="U13" s="90"/>
      <c r="V13" s="91"/>
      <c r="W13" s="12" t="str">
        <f t="shared" si="5"/>
        <v>Mqtt1</v>
      </c>
      <c r="X13" s="103"/>
      <c r="Y13" s="6" t="str">
        <f>"marpower/hydro/" &amp; LOWER(_xlfn.REGEXREPLACE(_xlfn.REGEXREPLACE(_xlfn.REGEXREPLACE(TRIM(_xlfn.REGEXREPLACE(P13, " (RMS (Current|Voltage) .+)|(Active Power Phase [ABC])|(Total Active Power)|(Power Factor .+)|(Total Power Factor) *", "")), "[ /\(\)&amp;:\.#]", "-"), "\-+", "-"), "-$", ""))</f>
        <v>marpower/hydro/thruster2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509</v>
      </c>
      <c r="B14" s="52"/>
      <c r="C14" s="7" t="s">
        <v>118</v>
      </c>
      <c r="D14" s="7" t="s">
        <v>477</v>
      </c>
      <c r="E14" s="7"/>
      <c r="F14" s="55"/>
      <c r="G14" s="6"/>
      <c r="H14" s="6"/>
      <c r="I14" s="10" t="s">
        <v>110</v>
      </c>
      <c r="J14" s="11" t="s">
        <v>481</v>
      </c>
      <c r="K14" s="102" t="s">
        <v>377</v>
      </c>
      <c r="L14" s="98"/>
      <c r="M14" s="98">
        <v>1000</v>
      </c>
      <c r="N14" s="60" t="s">
        <v>477</v>
      </c>
      <c r="O14" s="88"/>
      <c r="P14" s="60" t="s">
        <v>485</v>
      </c>
      <c r="Q14" s="60"/>
      <c r="R14" s="60"/>
      <c r="S14" s="89"/>
      <c r="T14" s="87"/>
      <c r="U14" s="90"/>
      <c r="V14" s="91"/>
      <c r="W14" s="12" t="str">
        <f t="shared" ref="W14" si="7">IF(COUNTIF(N14,"spare"),"","Mqtt1")</f>
        <v>Mqtt1</v>
      </c>
      <c r="X14" s="103"/>
      <c r="Y14" s="6" t="str">
        <f>"marpower/hydro/" &amp; LOWER(_xlfn.REGEXREPLACE(_xlfn.REGEXREPLACE(_xlfn.REGEXREPLACE(TRIM(_xlfn.REGEXREPLACE(P14, " (RMS (Current|Voltage) .+)|(Active Power Phase [ABC])|(Total Active Power)|(Power Factor .+)|(Total Power Factor) *", "")), "[ /\(\)&amp;:\.#]", "-"), "\-+", "-"), "-$", ""))</f>
        <v>marpower/hydro/thruster2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509</v>
      </c>
      <c r="B15" s="52"/>
      <c r="C15" s="7" t="s">
        <v>118</v>
      </c>
      <c r="D15" s="7" t="s">
        <v>486</v>
      </c>
      <c r="E15" s="7"/>
      <c r="F15" s="55"/>
      <c r="G15" s="6"/>
      <c r="H15" s="6"/>
      <c r="I15" s="10" t="s">
        <v>110</v>
      </c>
      <c r="J15" s="11" t="s">
        <v>488</v>
      </c>
      <c r="K15" s="102" t="s">
        <v>377</v>
      </c>
      <c r="L15" s="98"/>
      <c r="M15" s="98">
        <v>1000</v>
      </c>
      <c r="N15" s="60" t="s">
        <v>487</v>
      </c>
      <c r="O15" s="88"/>
      <c r="P15" s="60" t="s">
        <v>489</v>
      </c>
      <c r="Q15" s="60"/>
      <c r="R15" s="60"/>
      <c r="S15" s="89"/>
      <c r="T15" s="87"/>
      <c r="U15" s="90"/>
      <c r="V15" s="91"/>
      <c r="W15" s="12" t="str">
        <f t="shared" ref="W15" si="9">IF(COUNTIF(N15,"spare"),"","Mqtt1")</f>
        <v>Mqtt1</v>
      </c>
      <c r="X15" s="103"/>
      <c r="Y15" s="6" t="str">
        <f t="shared" ref="Y15:Y22" si="10">"marpower/battery-dc-converter/" &amp; LOWER(_xlfn.REGEXREPLACE(_xlfn.REGEXREPLACE(_xlfn.REGEXREPLACE(TRIM(_xlfn.REGEXREPLACE(P15, " ([Voltage|Current]* side [A|B]) *", "")), "[ /\(\)&amp;:\.#]", "-"), "\-+", "-"), "-$", ""))</f>
        <v>marpower/battery-dc-converter/brightloop1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1">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509</v>
      </c>
      <c r="B16" s="52"/>
      <c r="C16" s="7" t="s">
        <v>118</v>
      </c>
      <c r="D16" s="7" t="s">
        <v>486</v>
      </c>
      <c r="E16" s="7"/>
      <c r="F16" s="55"/>
      <c r="G16" s="6"/>
      <c r="H16" s="6"/>
      <c r="I16" s="10" t="s">
        <v>110</v>
      </c>
      <c r="J16" s="11" t="s">
        <v>490</v>
      </c>
      <c r="K16" s="102" t="s">
        <v>377</v>
      </c>
      <c r="L16" s="98"/>
      <c r="M16" s="98">
        <v>1000</v>
      </c>
      <c r="N16" s="60" t="s">
        <v>487</v>
      </c>
      <c r="O16" s="88"/>
      <c r="P16" s="60" t="s">
        <v>491</v>
      </c>
      <c r="Q16" s="60"/>
      <c r="R16" s="60"/>
      <c r="S16" s="89"/>
      <c r="T16" s="87"/>
      <c r="U16" s="90"/>
      <c r="V16" s="91"/>
      <c r="W16" s="12" t="str">
        <f t="shared" ref="W16" si="12">IF(COUNTIF(N16,"spare"),"","Mqtt1")</f>
        <v>Mqtt1</v>
      </c>
      <c r="X16" s="103"/>
      <c r="Y16" s="6" t="str">
        <f t="shared" si="10"/>
        <v>marpower/battery-dc-converter/brightloop1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509</v>
      </c>
      <c r="B17" s="52"/>
      <c r="C17" s="7" t="s">
        <v>118</v>
      </c>
      <c r="D17" s="7" t="s">
        <v>486</v>
      </c>
      <c r="E17" s="7"/>
      <c r="F17" s="55"/>
      <c r="G17" s="6"/>
      <c r="H17" s="6"/>
      <c r="I17" s="10" t="s">
        <v>110</v>
      </c>
      <c r="J17" s="11" t="s">
        <v>492</v>
      </c>
      <c r="K17" s="102" t="s">
        <v>377</v>
      </c>
      <c r="L17" s="98"/>
      <c r="M17" s="98">
        <v>1000</v>
      </c>
      <c r="N17" s="60" t="s">
        <v>487</v>
      </c>
      <c r="O17" s="88"/>
      <c r="P17" s="60" t="s">
        <v>494</v>
      </c>
      <c r="Q17" s="60"/>
      <c r="R17" s="60"/>
      <c r="S17" s="89"/>
      <c r="T17" s="87"/>
      <c r="U17" s="90"/>
      <c r="V17" s="91"/>
      <c r="W17" s="12" t="str">
        <f t="shared" ref="W17" si="14">IF(COUNTIF(N17,"spare"),"","Mqtt1")</f>
        <v>Mqtt1</v>
      </c>
      <c r="X17" s="103"/>
      <c r="Y17" s="6" t="str">
        <f t="shared" si="10"/>
        <v>marpower/battery-dc-converter/brightloop1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509</v>
      </c>
      <c r="B18" s="52"/>
      <c r="C18" s="7" t="s">
        <v>118</v>
      </c>
      <c r="D18" s="7" t="s">
        <v>486</v>
      </c>
      <c r="E18" s="7"/>
      <c r="F18" s="55"/>
      <c r="G18" s="6"/>
      <c r="H18" s="6"/>
      <c r="I18" s="10" t="s">
        <v>110</v>
      </c>
      <c r="J18" s="11" t="s">
        <v>493</v>
      </c>
      <c r="K18" s="102" t="s">
        <v>377</v>
      </c>
      <c r="L18" s="98"/>
      <c r="M18" s="98">
        <v>1000</v>
      </c>
      <c r="N18" s="60" t="s">
        <v>487</v>
      </c>
      <c r="O18" s="88"/>
      <c r="P18" s="60" t="s">
        <v>495</v>
      </c>
      <c r="Q18" s="60"/>
      <c r="R18" s="60"/>
      <c r="S18" s="89"/>
      <c r="T18" s="87"/>
      <c r="U18" s="90"/>
      <c r="V18" s="91"/>
      <c r="W18" s="12" t="str">
        <f t="shared" ref="W18:W21" si="16">IF(COUNTIF(N18,"spare"),"","Mqtt1")</f>
        <v>Mqtt1</v>
      </c>
      <c r="X18" s="103"/>
      <c r="Y18" s="6" t="str">
        <f t="shared" si="10"/>
        <v>marpower/battery-dc-converter/brightloop1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509</v>
      </c>
      <c r="B19" s="52"/>
      <c r="C19" s="7" t="s">
        <v>118</v>
      </c>
      <c r="D19" s="7" t="s">
        <v>486</v>
      </c>
      <c r="E19" s="7"/>
      <c r="F19" s="55"/>
      <c r="G19" s="6"/>
      <c r="H19" s="6"/>
      <c r="I19" s="10" t="s">
        <v>110</v>
      </c>
      <c r="J19" s="11" t="s">
        <v>496</v>
      </c>
      <c r="K19" s="102" t="s">
        <v>377</v>
      </c>
      <c r="L19" s="98"/>
      <c r="M19" s="98">
        <v>1000</v>
      </c>
      <c r="N19" s="60" t="s">
        <v>487</v>
      </c>
      <c r="O19" s="88"/>
      <c r="P19" s="60" t="s">
        <v>500</v>
      </c>
      <c r="Q19" s="60"/>
      <c r="R19" s="60"/>
      <c r="S19" s="89"/>
      <c r="T19" s="87"/>
      <c r="U19" s="90"/>
      <c r="V19" s="91"/>
      <c r="W19" s="12" t="str">
        <f t="shared" si="16"/>
        <v>Mqtt1</v>
      </c>
      <c r="X19" s="103"/>
      <c r="Y19" s="6" t="str">
        <f t="shared" si="10"/>
        <v>marpower/battery-dc-converter/brightloop2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509</v>
      </c>
      <c r="B20" s="52"/>
      <c r="C20" s="7" t="s">
        <v>118</v>
      </c>
      <c r="D20" s="7" t="s">
        <v>486</v>
      </c>
      <c r="E20" s="7"/>
      <c r="F20" s="55"/>
      <c r="G20" s="6"/>
      <c r="H20" s="6"/>
      <c r="I20" s="10" t="s">
        <v>110</v>
      </c>
      <c r="J20" s="11" t="s">
        <v>497</v>
      </c>
      <c r="K20" s="102" t="s">
        <v>377</v>
      </c>
      <c r="L20" s="98"/>
      <c r="M20" s="98">
        <v>1000</v>
      </c>
      <c r="N20" s="60" t="s">
        <v>487</v>
      </c>
      <c r="O20" s="88"/>
      <c r="P20" s="60" t="s">
        <v>501</v>
      </c>
      <c r="Q20" s="60"/>
      <c r="R20" s="60"/>
      <c r="S20" s="89"/>
      <c r="T20" s="87"/>
      <c r="U20" s="90"/>
      <c r="V20" s="91"/>
      <c r="W20" s="12" t="str">
        <f t="shared" si="16"/>
        <v>Mqtt1</v>
      </c>
      <c r="X20" s="103"/>
      <c r="Y20" s="6" t="str">
        <f t="shared" si="10"/>
        <v>marpower/battery-dc-converter/brightloop2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509</v>
      </c>
      <c r="B21" s="52"/>
      <c r="C21" s="7" t="s">
        <v>118</v>
      </c>
      <c r="D21" s="7" t="s">
        <v>486</v>
      </c>
      <c r="E21" s="7"/>
      <c r="F21" s="55"/>
      <c r="G21" s="6"/>
      <c r="H21" s="6"/>
      <c r="I21" s="10" t="s">
        <v>110</v>
      </c>
      <c r="J21" s="11" t="s">
        <v>498</v>
      </c>
      <c r="K21" s="102" t="s">
        <v>377</v>
      </c>
      <c r="L21" s="98"/>
      <c r="M21" s="98">
        <v>1000</v>
      </c>
      <c r="N21" s="60" t="s">
        <v>487</v>
      </c>
      <c r="O21" s="88"/>
      <c r="P21" s="60" t="s">
        <v>502</v>
      </c>
      <c r="Q21" s="60"/>
      <c r="R21" s="60"/>
      <c r="S21" s="89"/>
      <c r="T21" s="87"/>
      <c r="U21" s="90"/>
      <c r="V21" s="91"/>
      <c r="W21" s="12" t="str">
        <f t="shared" si="16"/>
        <v>Mqtt1</v>
      </c>
      <c r="X21" s="103"/>
      <c r="Y21" s="6" t="str">
        <f t="shared" si="10"/>
        <v>marpower/battery-dc-converter/brightloop2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509</v>
      </c>
      <c r="B22" s="52"/>
      <c r="C22" s="7" t="s">
        <v>118</v>
      </c>
      <c r="D22" s="7" t="s">
        <v>486</v>
      </c>
      <c r="E22" s="7"/>
      <c r="F22" s="55"/>
      <c r="G22" s="6"/>
      <c r="H22" s="6"/>
      <c r="I22" s="10" t="s">
        <v>110</v>
      </c>
      <c r="J22" s="11" t="s">
        <v>499</v>
      </c>
      <c r="K22" s="102" t="s">
        <v>377</v>
      </c>
      <c r="L22" s="98"/>
      <c r="M22" s="98">
        <v>1000</v>
      </c>
      <c r="N22" s="60" t="s">
        <v>487</v>
      </c>
      <c r="O22" s="88"/>
      <c r="P22" s="60" t="s">
        <v>503</v>
      </c>
      <c r="Q22" s="60"/>
      <c r="R22" s="60"/>
      <c r="S22" s="89"/>
      <c r="T22" s="87"/>
      <c r="U22" s="90"/>
      <c r="V22" s="91"/>
      <c r="W22" s="12" t="str">
        <f t="shared" ref="W22" si="18">IF(COUNTIF(N22,"spare"),"","Mqtt1")</f>
        <v>Mqtt1</v>
      </c>
      <c r="X22" s="103"/>
      <c r="Y22" s="6" t="str">
        <f t="shared" si="10"/>
        <v>marpower/battery-dc-converter/brightloop2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509</v>
      </c>
      <c r="B23" s="52"/>
      <c r="C23" s="7" t="s">
        <v>118</v>
      </c>
      <c r="D23" s="7" t="s">
        <v>504</v>
      </c>
      <c r="E23" s="7"/>
      <c r="F23" s="55"/>
      <c r="G23" s="6"/>
      <c r="H23" s="6"/>
      <c r="I23" s="10" t="s">
        <v>110</v>
      </c>
      <c r="J23" s="11" t="s">
        <v>505</v>
      </c>
      <c r="K23" s="102" t="s">
        <v>377</v>
      </c>
      <c r="L23" s="98"/>
      <c r="M23" s="98">
        <v>1000</v>
      </c>
      <c r="N23" s="60" t="s">
        <v>487</v>
      </c>
      <c r="O23" s="88"/>
      <c r="P23" s="60" t="s">
        <v>506</v>
      </c>
      <c r="Q23" s="60"/>
      <c r="R23" s="60"/>
      <c r="S23" s="89"/>
      <c r="T23" s="87"/>
      <c r="U23" s="90"/>
      <c r="V23" s="91"/>
      <c r="W23" s="12" t="str">
        <f t="shared" ref="W23" si="20">IF(COUNTIF(N23,"spare"),"","Mqtt1")</f>
        <v>Mqtt1</v>
      </c>
      <c r="X23" s="103"/>
      <c r="Y23" s="6" t="str">
        <f>"marpower/bms-master/" &amp; LOWER(_xlfn.REGEXREPLACE(_xlfn.REGEXREPLACE(_xlfn.REGEXREPLACE(TRIM(_xlfn.REGEXREPLACE(P23, " (Stored [power|energy]*) *", "")), "[ /\(\)&amp;:\.#]", "-"), "\-+", "-"), "-$", ""))</f>
        <v>marpower/bms-master/bms-master1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1">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509</v>
      </c>
      <c r="B24" s="52"/>
      <c r="C24" s="7" t="s">
        <v>118</v>
      </c>
      <c r="D24" s="7" t="s">
        <v>504</v>
      </c>
      <c r="E24" s="7"/>
      <c r="F24" s="55"/>
      <c r="G24" s="6"/>
      <c r="H24" s="6"/>
      <c r="I24" s="10" t="s">
        <v>110</v>
      </c>
      <c r="J24" s="11" t="s">
        <v>508</v>
      </c>
      <c r="K24" s="102" t="s">
        <v>377</v>
      </c>
      <c r="L24" s="98"/>
      <c r="M24" s="98">
        <v>1000</v>
      </c>
      <c r="N24" s="60" t="s">
        <v>487</v>
      </c>
      <c r="O24" s="88"/>
      <c r="P24" s="60" t="s">
        <v>507</v>
      </c>
      <c r="Q24" s="60"/>
      <c r="R24" s="60"/>
      <c r="S24" s="89"/>
      <c r="T24" s="87"/>
      <c r="U24" s="90"/>
      <c r="V24" s="91"/>
      <c r="W24" s="12" t="str">
        <f t="shared" ref="W24" si="22">IF(COUNTIF(N24,"spare"),"","Mqtt1")</f>
        <v>Mqtt1</v>
      </c>
      <c r="X24" s="103"/>
      <c r="Y24" s="6" t="str">
        <f>"marpower/bms-master/" &amp; LOWER(_xlfn.REGEXREPLACE(_xlfn.REGEXREPLACE(_xlfn.REGEXREPLACE(TRIM(_xlfn.REGEXREPLACE(P24, " (Stored [power|energy]*) *", "")), "[ /\(\)&amp;:\.#]", "-"), "\-+", "-"), "-$", ""))</f>
        <v>marpower/bms-master/bms-master2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3">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513</v>
      </c>
      <c r="B25" s="52"/>
      <c r="C25" s="7" t="s">
        <v>118</v>
      </c>
      <c r="D25" s="7" t="s">
        <v>22</v>
      </c>
      <c r="E25" s="7"/>
      <c r="F25" s="7"/>
      <c r="I25" s="10" t="s">
        <v>110</v>
      </c>
      <c r="J25" s="56" t="s">
        <v>517</v>
      </c>
      <c r="K25" s="57" t="s">
        <v>510</v>
      </c>
      <c r="M25" s="10">
        <v>1000</v>
      </c>
      <c r="N25" s="59" t="s">
        <v>514</v>
      </c>
      <c r="P25" s="59" t="s">
        <v>519</v>
      </c>
      <c r="R25" s="60"/>
      <c r="S25" s="62"/>
      <c r="W25" s="65" t="s">
        <v>511</v>
      </c>
      <c r="X25" s="104"/>
      <c r="Y25" s="6" t="str">
        <f>"marpower/"&amp;LOWER(_xlfn.REGEXREPLACE(IF(COUNTIF(N25,"spare"),"",IF(X25&lt;&gt;"",N25&amp;"/"&amp;X25,N25&amp;" GENERAL"))," ","-"))</f>
        <v>marpower/450000-24vdc-system-general</v>
      </c>
      <c r="Z25" s="64" t="str">
        <f t="shared" ref="Z25:Z26" si="24">IF(COUNTIF(N25,"spare"),"","$."&amp;_xlfn.REGEXREPLACE(_xlfn.REGEXREPLACE(IF(X25="",J25,_xlfn.REGEXREPLACE(J25,".*_","")),"^DB_",""),"\.","_"))</f>
        <v>$.GEN_SERVICE_14E1_VOLTAGE</v>
      </c>
      <c r="AA25" s="65"/>
      <c r="AC25" s="66"/>
      <c r="AD25" s="66"/>
      <c r="AE25" s="56"/>
      <c r="AF25" s="56"/>
      <c r="AG25" s="56"/>
      <c r="AH25" s="56"/>
      <c r="AI25" s="69"/>
      <c r="AK25" s="68" t="s">
        <v>515</v>
      </c>
      <c r="AL25" s="68"/>
      <c r="AM25" s="70" t="s">
        <v>512</v>
      </c>
      <c r="AR25" s="72"/>
      <c r="AT25" s="7"/>
      <c r="AU25" s="7"/>
      <c r="AV25" s="73"/>
      <c r="AW25" s="71" t="s">
        <v>512</v>
      </c>
      <c r="AX25" s="77"/>
      <c r="BB25" s="81" t="s">
        <v>512</v>
      </c>
      <c r="BQ25" s="83"/>
      <c r="BS25" s="6"/>
      <c r="BT25" s="11"/>
    </row>
    <row r="26" spans="1:74" ht="15.75" x14ac:dyDescent="0.25">
      <c r="A26" s="50" t="s">
        <v>513</v>
      </c>
      <c r="B26" s="52"/>
      <c r="C26" s="7" t="s">
        <v>118</v>
      </c>
      <c r="D26" s="7" t="s">
        <v>22</v>
      </c>
      <c r="E26" s="7"/>
      <c r="F26" s="7"/>
      <c r="I26" s="10" t="s">
        <v>110</v>
      </c>
      <c r="J26" s="56" t="s">
        <v>518</v>
      </c>
      <c r="K26" s="57" t="s">
        <v>510</v>
      </c>
      <c r="M26" s="10">
        <v>1000</v>
      </c>
      <c r="N26" s="59" t="s">
        <v>514</v>
      </c>
      <c r="P26" s="59" t="s">
        <v>520</v>
      </c>
      <c r="R26" s="60"/>
      <c r="S26" s="62"/>
      <c r="W26" s="65" t="s">
        <v>511</v>
      </c>
      <c r="X26" s="104"/>
      <c r="Y26" s="6" t="str">
        <f>"marpower/"&amp;LOWER(_xlfn.REGEXREPLACE(IF(COUNTIF(N26,"spare"),"",IF(X26&lt;&gt;"",N26&amp;"/"&amp;X26,N26&amp;" GENERAL"))," ","-"))</f>
        <v>marpower/450000-24vdc-system-general</v>
      </c>
      <c r="Z26" s="64" t="str">
        <f t="shared" si="24"/>
        <v>$.GEN_SERVICE_14E1_CURRENT</v>
      </c>
      <c r="AA26" s="65"/>
      <c r="AC26" s="66"/>
      <c r="AD26" s="66"/>
      <c r="AE26" s="56"/>
      <c r="AF26" s="56"/>
      <c r="AG26" s="56"/>
      <c r="AH26" s="56"/>
      <c r="AI26" s="69"/>
      <c r="AK26" s="68" t="s">
        <v>516</v>
      </c>
      <c r="AL26" s="68"/>
      <c r="AM26" s="70" t="s">
        <v>512</v>
      </c>
      <c r="AR26" s="72"/>
      <c r="AT26" s="7"/>
      <c r="AU26" s="7"/>
      <c r="AV26" s="73"/>
      <c r="AW26" s="71" t="s">
        <v>512</v>
      </c>
      <c r="AX26" s="77"/>
      <c r="BB26" s="81" t="s">
        <v>512</v>
      </c>
      <c r="BQ26" s="83"/>
      <c r="BS26" s="6"/>
      <c r="BT26" s="11"/>
    </row>
    <row r="27" spans="1:74" x14ac:dyDescent="0.25">
      <c r="W27" s="65"/>
      <c r="X27" s="104"/>
      <c r="Y27" s="54"/>
      <c r="Z27" s="66"/>
    </row>
    <row r="28" spans="1:74" x14ac:dyDescent="0.25">
      <c r="W28" s="65"/>
      <c r="X28" s="104"/>
      <c r="Y28" s="54"/>
      <c r="Z28" s="66"/>
    </row>
    <row r="29" spans="1:74" x14ac:dyDescent="0.25">
      <c r="W29" s="65"/>
      <c r="X29" s="104"/>
      <c r="Y29" s="54"/>
      <c r="Z29" s="66"/>
    </row>
    <row r="30" spans="1:74" x14ac:dyDescent="0.25">
      <c r="W30" s="65"/>
      <c r="X30" s="104"/>
      <c r="Y30" s="54"/>
      <c r="Z30" s="66"/>
    </row>
    <row r="31" spans="1:74" x14ac:dyDescent="0.25">
      <c r="W31" s="65"/>
      <c r="X31" s="104"/>
      <c r="Y31" s="54"/>
      <c r="Z31" s="66"/>
    </row>
    <row r="32" spans="1:74" x14ac:dyDescent="0.25">
      <c r="W32" s="65"/>
      <c r="X32" s="104"/>
      <c r="Y32" s="54"/>
      <c r="Z32" s="66"/>
    </row>
    <row r="33" spans="23:26" x14ac:dyDescent="0.25">
      <c r="W33" s="65"/>
      <c r="X33" s="104"/>
      <c r="Y33" s="54"/>
      <c r="Z33" s="66"/>
    </row>
    <row r="34" spans="23:26" x14ac:dyDescent="0.25">
      <c r="W34" s="65"/>
      <c r="X34" s="104"/>
      <c r="Y34" s="54"/>
      <c r="Z34" s="66"/>
    </row>
    <row r="35" spans="23:26" x14ac:dyDescent="0.25">
      <c r="W35" s="65"/>
      <c r="X35" s="104"/>
      <c r="Y35" s="54"/>
      <c r="Z35" s="66"/>
    </row>
    <row r="36" spans="23:26" x14ac:dyDescent="0.25">
      <c r="W36" s="65"/>
      <c r="X36" s="104"/>
      <c r="Y36" s="54"/>
      <c r="Z36" s="66"/>
    </row>
    <row r="37" spans="23:26" x14ac:dyDescent="0.25">
      <c r="W37" s="65"/>
      <c r="X37" s="104"/>
      <c r="Y37" s="54"/>
      <c r="Z37" s="66"/>
    </row>
    <row r="38" spans="23:26" x14ac:dyDescent="0.25">
      <c r="W38" s="65"/>
      <c r="X38" s="104"/>
      <c r="Y38" s="54"/>
      <c r="Z38" s="66"/>
    </row>
    <row r="39" spans="23:26" x14ac:dyDescent="0.25">
      <c r="W39" s="65"/>
      <c r="X39" s="104"/>
      <c r="Y39" s="54"/>
      <c r="Z39" s="66"/>
    </row>
    <row r="40" spans="23:26" x14ac:dyDescent="0.25">
      <c r="W40" s="65"/>
      <c r="X40" s="104"/>
      <c r="Y40" s="54"/>
      <c r="Z40" s="66"/>
    </row>
    <row r="41" spans="23:26" x14ac:dyDescent="0.25">
      <c r="W41" s="65"/>
      <c r="X41" s="104"/>
      <c r="Y41" s="54"/>
      <c r="Z41" s="66"/>
    </row>
    <row r="42" spans="23:26" x14ac:dyDescent="0.25">
      <c r="W42" s="65"/>
      <c r="X42" s="104"/>
      <c r="Y42" s="54"/>
      <c r="Z42" s="66"/>
    </row>
    <row r="43" spans="23:26" x14ac:dyDescent="0.25">
      <c r="W43" s="65"/>
      <c r="X43" s="104"/>
      <c r="Y43" s="54"/>
      <c r="Z43" s="66"/>
    </row>
    <row r="44" spans="23:26" x14ac:dyDescent="0.25">
      <c r="W44" s="65"/>
      <c r="X44" s="104"/>
      <c r="Y44" s="54"/>
      <c r="Z44" s="66"/>
    </row>
    <row r="45" spans="23:26" x14ac:dyDescent="0.25">
      <c r="W45" s="65"/>
      <c r="X45" s="104"/>
      <c r="Y45" s="54"/>
      <c r="Z45" s="66"/>
    </row>
    <row r="46" spans="23:26" x14ac:dyDescent="0.25">
      <c r="W46" s="65"/>
      <c r="X46" s="104"/>
      <c r="Y46" s="54"/>
      <c r="Z46" s="66"/>
    </row>
    <row r="47" spans="23:26" x14ac:dyDescent="0.25">
      <c r="W47" s="65"/>
      <c r="X47" s="104"/>
      <c r="Y47" s="54"/>
      <c r="Z47" s="66"/>
    </row>
    <row r="48" spans="23:26" x14ac:dyDescent="0.25">
      <c r="W48" s="65"/>
      <c r="X48" s="104"/>
      <c r="Y48" s="54"/>
      <c r="Z48" s="66"/>
    </row>
    <row r="49" spans="23:26" x14ac:dyDescent="0.25">
      <c r="W49" s="65"/>
      <c r="X49" s="104"/>
      <c r="Y49" s="54"/>
      <c r="Z49" s="66"/>
    </row>
    <row r="50" spans="23:26" x14ac:dyDescent="0.25">
      <c r="W50" s="65"/>
      <c r="X50" s="104"/>
      <c r="Y50" s="54"/>
      <c r="Z50" s="66"/>
    </row>
    <row r="51" spans="23:26" x14ac:dyDescent="0.25">
      <c r="W51" s="65"/>
      <c r="X51" s="104"/>
      <c r="Y51" s="54"/>
      <c r="Z51" s="66"/>
    </row>
    <row r="52" spans="23:26" x14ac:dyDescent="0.25">
      <c r="W52" s="65"/>
      <c r="X52" s="104"/>
      <c r="Y52" s="54"/>
      <c r="Z52" s="66"/>
    </row>
    <row r="53" spans="23:26" x14ac:dyDescent="0.25">
      <c r="W53" s="65"/>
      <c r="X53" s="104"/>
      <c r="Y53" s="54"/>
      <c r="Z53" s="66"/>
    </row>
    <row r="54" spans="23:26" x14ac:dyDescent="0.25">
      <c r="W54" s="65"/>
      <c r="X54" s="104"/>
      <c r="Y54" s="54"/>
      <c r="Z54" s="66"/>
    </row>
    <row r="55" spans="23:26" x14ac:dyDescent="0.25">
      <c r="W55" s="65"/>
      <c r="X55" s="104"/>
      <c r="Y55" s="54"/>
      <c r="Z55" s="66"/>
    </row>
    <row r="56" spans="23:26" x14ac:dyDescent="0.25">
      <c r="W56" s="65"/>
      <c r="X56" s="104"/>
      <c r="Y56" s="54"/>
      <c r="Z56" s="66"/>
    </row>
    <row r="57" spans="23:26" x14ac:dyDescent="0.25">
      <c r="W57" s="65"/>
      <c r="X57" s="104"/>
      <c r="Y57" s="54"/>
      <c r="Z57" s="66"/>
    </row>
    <row r="58" spans="23:26" x14ac:dyDescent="0.25">
      <c r="W58" s="65"/>
      <c r="X58" s="104"/>
      <c r="Y58" s="54"/>
      <c r="Z58" s="66"/>
    </row>
    <row r="59" spans="23:26" x14ac:dyDescent="0.25">
      <c r="W59" s="65"/>
      <c r="X59" s="104"/>
      <c r="Y59" s="54"/>
      <c r="Z59" s="66"/>
    </row>
    <row r="60" spans="23:26" x14ac:dyDescent="0.25">
      <c r="W60" s="65"/>
      <c r="X60" s="104"/>
      <c r="Y60" s="54"/>
      <c r="Z60" s="66"/>
    </row>
    <row r="61" spans="23:26" x14ac:dyDescent="0.25">
      <c r="W61" s="65"/>
      <c r="X61" s="104"/>
      <c r="Y61" s="54"/>
      <c r="Z61" s="66"/>
    </row>
    <row r="62" spans="23:26" x14ac:dyDescent="0.25">
      <c r="W62" s="65"/>
      <c r="X62" s="104"/>
      <c r="Y62" s="54"/>
      <c r="Z62" s="66"/>
    </row>
    <row r="63" spans="23:26" x14ac:dyDescent="0.25">
      <c r="W63" s="65"/>
      <c r="X63" s="104"/>
      <c r="Y63" s="54"/>
      <c r="Z63" s="66"/>
    </row>
    <row r="64" spans="23:26" x14ac:dyDescent="0.25">
      <c r="W64" s="65"/>
      <c r="X64" s="104"/>
      <c r="Y64" s="54"/>
      <c r="Z64" s="66"/>
    </row>
    <row r="65" spans="23:26" x14ac:dyDescent="0.25">
      <c r="W65" s="65"/>
      <c r="X65" s="104"/>
      <c r="Y65" s="54"/>
      <c r="Z65" s="66"/>
    </row>
    <row r="66" spans="23:26" x14ac:dyDescent="0.25">
      <c r="W66" s="65"/>
      <c r="X66" s="104"/>
      <c r="Y66" s="54"/>
      <c r="Z66" s="66"/>
    </row>
    <row r="67" spans="23:26" x14ac:dyDescent="0.25">
      <c r="W67" s="65"/>
      <c r="X67" s="104"/>
      <c r="Y67" s="54"/>
      <c r="Z67" s="66"/>
    </row>
    <row r="68" spans="23:26" x14ac:dyDescent="0.25">
      <c r="W68" s="65"/>
      <c r="X68" s="104"/>
      <c r="Y68" s="54"/>
      <c r="Z68" s="66"/>
    </row>
    <row r="69" spans="23:26" x14ac:dyDescent="0.25">
      <c r="W69" s="65"/>
      <c r="X69" s="104"/>
      <c r="Y69" s="54"/>
      <c r="Z69" s="66"/>
    </row>
    <row r="70" spans="23:26" x14ac:dyDescent="0.25">
      <c r="W70" s="65"/>
      <c r="X70" s="104"/>
      <c r="Y70" s="54"/>
      <c r="Z70" s="66"/>
    </row>
    <row r="71" spans="23:26" x14ac:dyDescent="0.25">
      <c r="W71" s="65"/>
      <c r="X71" s="104"/>
      <c r="Y71" s="54"/>
      <c r="Z71" s="66"/>
    </row>
    <row r="72" spans="23:26" x14ac:dyDescent="0.25">
      <c r="W72" s="65"/>
      <c r="X72" s="104"/>
      <c r="Y72" s="54"/>
      <c r="Z72" s="66"/>
    </row>
    <row r="73" spans="23:26" x14ac:dyDescent="0.25">
      <c r="W73" s="65"/>
      <c r="X73" s="104"/>
      <c r="Y73" s="54"/>
      <c r="Z73" s="66"/>
    </row>
    <row r="74" spans="23:26" x14ac:dyDescent="0.25">
      <c r="W74" s="65"/>
      <c r="X74" s="104"/>
      <c r="Y74" s="54"/>
      <c r="Z74" s="66"/>
    </row>
    <row r="75" spans="23:26" x14ac:dyDescent="0.25">
      <c r="W75" s="65"/>
      <c r="X75" s="104"/>
      <c r="Y75" s="54"/>
      <c r="Z75" s="66"/>
    </row>
    <row r="76" spans="23:26" x14ac:dyDescent="0.25">
      <c r="W76" s="65"/>
      <c r="X76" s="104"/>
      <c r="Y76" s="54"/>
      <c r="Z76" s="66"/>
    </row>
    <row r="77" spans="23:26" x14ac:dyDescent="0.25">
      <c r="W77" s="65"/>
      <c r="X77" s="104"/>
      <c r="Y77" s="54"/>
      <c r="Z77" s="66"/>
    </row>
    <row r="78" spans="23:26" x14ac:dyDescent="0.25">
      <c r="W78" s="65"/>
      <c r="X78" s="104"/>
      <c r="Y78" s="54"/>
      <c r="Z78" s="66"/>
    </row>
    <row r="79" spans="23:26" x14ac:dyDescent="0.25">
      <c r="W79" s="65"/>
      <c r="X79" s="104"/>
      <c r="Y79" s="54"/>
      <c r="Z79" s="66"/>
    </row>
    <row r="80" spans="23:26" x14ac:dyDescent="0.25">
      <c r="W80" s="65"/>
      <c r="X80" s="104"/>
      <c r="Y80" s="54"/>
      <c r="Z80" s="66"/>
    </row>
    <row r="81" spans="23:26" x14ac:dyDescent="0.25">
      <c r="W81" s="65"/>
      <c r="X81" s="104"/>
      <c r="Y81" s="54"/>
      <c r="Z81" s="66"/>
    </row>
    <row r="82" spans="23:26" x14ac:dyDescent="0.25">
      <c r="W82" s="65"/>
      <c r="X82" s="104"/>
      <c r="Y82" s="54"/>
      <c r="Z82" s="66"/>
    </row>
    <row r="83" spans="23:26" x14ac:dyDescent="0.25">
      <c r="W83" s="65"/>
      <c r="X83" s="104"/>
      <c r="Y83" s="54"/>
      <c r="Z83" s="66"/>
    </row>
    <row r="84" spans="23:26" x14ac:dyDescent="0.25">
      <c r="W84" s="65"/>
      <c r="X84" s="104"/>
      <c r="Y84" s="54"/>
      <c r="Z84" s="66"/>
    </row>
    <row r="85" spans="23:26" x14ac:dyDescent="0.25">
      <c r="W85" s="65"/>
      <c r="X85" s="104"/>
      <c r="Y85" s="54"/>
      <c r="Z85" s="66"/>
    </row>
    <row r="86" spans="23:26" x14ac:dyDescent="0.25">
      <c r="W86" s="65"/>
      <c r="X86" s="104"/>
      <c r="Y86" s="54"/>
      <c r="Z86" s="66"/>
    </row>
    <row r="87" spans="23:26" x14ac:dyDescent="0.25">
      <c r="W87" s="65"/>
      <c r="X87" s="104"/>
      <c r="Y87" s="54"/>
      <c r="Z87" s="66"/>
    </row>
    <row r="88" spans="23:26" x14ac:dyDescent="0.25">
      <c r="W88" s="65"/>
      <c r="X88" s="104"/>
      <c r="Y88" s="54"/>
      <c r="Z88" s="66"/>
    </row>
    <row r="89" spans="23:26" x14ac:dyDescent="0.25">
      <c r="W89" s="65"/>
      <c r="X89" s="104"/>
      <c r="Y89" s="54"/>
      <c r="Z89" s="66"/>
    </row>
    <row r="90" spans="23:26" x14ac:dyDescent="0.25">
      <c r="W90" s="65"/>
      <c r="X90" s="104"/>
      <c r="Y90" s="54"/>
      <c r="Z90" s="66"/>
    </row>
    <row r="91" spans="23:26" x14ac:dyDescent="0.25">
      <c r="W91" s="65"/>
      <c r="X91" s="104"/>
      <c r="Y91" s="54"/>
      <c r="Z91" s="66"/>
    </row>
    <row r="92" spans="23:26" x14ac:dyDescent="0.25">
      <c r="W92" s="65"/>
      <c r="X92" s="104"/>
      <c r="Y92" s="54"/>
      <c r="Z92" s="66"/>
    </row>
    <row r="93" spans="23:26" x14ac:dyDescent="0.25">
      <c r="W93" s="65"/>
      <c r="X93" s="104"/>
      <c r="Y93" s="54"/>
      <c r="Z93" s="66"/>
    </row>
    <row r="94" spans="23:26" x14ac:dyDescent="0.25">
      <c r="W94" s="65"/>
      <c r="X94" s="104"/>
      <c r="Y94" s="54"/>
      <c r="Z94" s="66"/>
    </row>
    <row r="95" spans="23:26" x14ac:dyDescent="0.25">
      <c r="W95" s="65"/>
      <c r="X95" s="104"/>
      <c r="Y95" s="54"/>
      <c r="Z95" s="66"/>
    </row>
    <row r="96" spans="23:26" x14ac:dyDescent="0.25">
      <c r="W96" s="65"/>
      <c r="X96" s="104"/>
      <c r="Y96" s="54"/>
      <c r="Z96" s="66"/>
    </row>
    <row r="97" spans="23:26" x14ac:dyDescent="0.25">
      <c r="W97" s="65"/>
      <c r="X97" s="104"/>
      <c r="Y97" s="54"/>
      <c r="Z97" s="66"/>
    </row>
    <row r="98" spans="23:26" x14ac:dyDescent="0.25">
      <c r="W98" s="65"/>
      <c r="X98" s="104"/>
      <c r="Y98" s="54"/>
      <c r="Z98" s="66"/>
    </row>
    <row r="99" spans="23:26" x14ac:dyDescent="0.25">
      <c r="W99" s="65"/>
      <c r="X99" s="104"/>
      <c r="Y99" s="54"/>
      <c r="Z99" s="66"/>
    </row>
    <row r="100" spans="23:26" x14ac:dyDescent="0.25">
      <c r="W100" s="65"/>
      <c r="X100" s="104"/>
      <c r="Y100" s="54"/>
      <c r="Z100" s="66"/>
    </row>
    <row r="101" spans="23:26" x14ac:dyDescent="0.25">
      <c r="W101" s="65"/>
      <c r="X101" s="104"/>
      <c r="Y101" s="54"/>
      <c r="Z101" s="66"/>
    </row>
    <row r="102" spans="23:26" x14ac:dyDescent="0.25">
      <c r="W102" s="65"/>
      <c r="X102" s="104"/>
      <c r="Y102" s="54"/>
      <c r="Z102" s="66"/>
    </row>
    <row r="103" spans="23:26" x14ac:dyDescent="0.25">
      <c r="W103" s="65"/>
      <c r="X103" s="104"/>
      <c r="Y103" s="54"/>
      <c r="Z103" s="66"/>
    </row>
    <row r="104" spans="23:26" x14ac:dyDescent="0.25">
      <c r="W104" s="65"/>
      <c r="X104" s="104"/>
      <c r="Y104" s="54"/>
      <c r="Z104" s="66"/>
    </row>
    <row r="105" spans="23:26" x14ac:dyDescent="0.25">
      <c r="W105" s="65"/>
      <c r="X105" s="104"/>
      <c r="Y105" s="54"/>
      <c r="Z105" s="66"/>
    </row>
    <row r="106" spans="23:26" x14ac:dyDescent="0.25">
      <c r="W106" s="65"/>
      <c r="X106" s="104"/>
      <c r="Y106" s="54"/>
      <c r="Z106" s="66"/>
    </row>
    <row r="107" spans="23:26" x14ac:dyDescent="0.25">
      <c r="W107" s="65"/>
      <c r="X107" s="104"/>
      <c r="Y107" s="54"/>
      <c r="Z107" s="66"/>
    </row>
    <row r="108" spans="23:26" x14ac:dyDescent="0.25">
      <c r="W108" s="65"/>
      <c r="X108" s="104"/>
      <c r="Y108" s="54"/>
      <c r="Z108" s="66"/>
    </row>
    <row r="109" spans="23:26" x14ac:dyDescent="0.25">
      <c r="W109" s="65"/>
      <c r="X109" s="104"/>
      <c r="Y109" s="54"/>
      <c r="Z109" s="66"/>
    </row>
    <row r="110" spans="23:26" x14ac:dyDescent="0.25">
      <c r="W110" s="65"/>
      <c r="X110" s="104"/>
      <c r="Y110" s="54"/>
      <c r="Z110" s="66"/>
    </row>
    <row r="111" spans="23:26" x14ac:dyDescent="0.25">
      <c r="W111" s="65"/>
      <c r="X111" s="104"/>
      <c r="Y111" s="54"/>
      <c r="Z111" s="66"/>
    </row>
    <row r="112" spans="23:26" x14ac:dyDescent="0.25">
      <c r="W112" s="65"/>
      <c r="X112" s="104"/>
      <c r="Y112" s="54"/>
      <c r="Z112" s="66"/>
    </row>
    <row r="113" spans="23:26" x14ac:dyDescent="0.25">
      <c r="W113" s="65"/>
      <c r="X113" s="104"/>
      <c r="Y113" s="54"/>
      <c r="Z113" s="66"/>
    </row>
    <row r="114" spans="23:26" x14ac:dyDescent="0.25">
      <c r="W114" s="65"/>
      <c r="X114" s="104"/>
      <c r="Y114" s="54"/>
      <c r="Z114" s="66"/>
    </row>
    <row r="115" spans="23:26" x14ac:dyDescent="0.25">
      <c r="W115" s="65"/>
      <c r="X115" s="104"/>
      <c r="Y115" s="54"/>
      <c r="Z115" s="66"/>
    </row>
    <row r="116" spans="23:26" x14ac:dyDescent="0.25">
      <c r="W116" s="65"/>
      <c r="X116" s="104"/>
      <c r="Y116" s="54"/>
      <c r="Z116" s="66"/>
    </row>
    <row r="117" spans="23:26" x14ac:dyDescent="0.25">
      <c r="W117" s="65"/>
      <c r="X117" s="104"/>
      <c r="Y117" s="54"/>
      <c r="Z117" s="66"/>
    </row>
    <row r="118" spans="23:26" x14ac:dyDescent="0.25">
      <c r="W118" s="65"/>
      <c r="X118" s="104"/>
      <c r="Y118" s="54"/>
      <c r="Z118" s="66"/>
    </row>
    <row r="119" spans="23:26" x14ac:dyDescent="0.25">
      <c r="W119" s="65"/>
      <c r="X119" s="104"/>
      <c r="Y119" s="54"/>
      <c r="Z119" s="66"/>
    </row>
    <row r="120" spans="23:26" x14ac:dyDescent="0.25">
      <c r="W120" s="65"/>
      <c r="X120" s="104"/>
      <c r="Y120" s="54"/>
      <c r="Z120" s="66"/>
    </row>
    <row r="121" spans="23:26" x14ac:dyDescent="0.25">
      <c r="W121" s="65"/>
      <c r="X121" s="104"/>
      <c r="Y121" s="54"/>
      <c r="Z121" s="66"/>
    </row>
    <row r="122" spans="23:26" x14ac:dyDescent="0.25">
      <c r="W122" s="65"/>
      <c r="X122" s="104"/>
      <c r="Y122" s="54"/>
      <c r="Z122" s="66"/>
    </row>
    <row r="123" spans="23:26" x14ac:dyDescent="0.25">
      <c r="W123" s="65"/>
      <c r="X123" s="104"/>
      <c r="Y123" s="54"/>
      <c r="Z123" s="66"/>
    </row>
    <row r="124" spans="23:26" x14ac:dyDescent="0.25">
      <c r="W124" s="65"/>
      <c r="X124" s="104"/>
      <c r="Y124" s="54"/>
      <c r="Z124" s="66"/>
    </row>
    <row r="125" spans="23:26" x14ac:dyDescent="0.25">
      <c r="W125" s="65"/>
      <c r="X125" s="104"/>
      <c r="Y125" s="54"/>
      <c r="Z125" s="66"/>
    </row>
    <row r="126" spans="23:26" x14ac:dyDescent="0.25">
      <c r="W126" s="65"/>
      <c r="X126" s="104"/>
      <c r="Y126" s="54"/>
      <c r="Z126" s="66"/>
    </row>
    <row r="127" spans="23:26" x14ac:dyDescent="0.25">
      <c r="W127" s="65"/>
      <c r="X127" s="104"/>
      <c r="Y127" s="54"/>
      <c r="Z127" s="66"/>
    </row>
    <row r="128" spans="23:26" x14ac:dyDescent="0.25">
      <c r="W128" s="65"/>
      <c r="X128" s="104"/>
      <c r="Y128" s="54"/>
      <c r="Z128" s="66"/>
    </row>
    <row r="129" spans="23:26" x14ac:dyDescent="0.25">
      <c r="W129" s="65"/>
      <c r="X129" s="104"/>
      <c r="Y129" s="54"/>
      <c r="Z129" s="66"/>
    </row>
    <row r="130" spans="23:26" x14ac:dyDescent="0.25">
      <c r="W130" s="65"/>
      <c r="X130" s="104"/>
      <c r="Y130" s="54"/>
      <c r="Z130" s="66"/>
    </row>
    <row r="131" spans="23:26" x14ac:dyDescent="0.25">
      <c r="W131" s="65"/>
      <c r="X131" s="104"/>
      <c r="Y131" s="54"/>
      <c r="Z131" s="66"/>
    </row>
    <row r="132" spans="23:26" x14ac:dyDescent="0.25">
      <c r="W132" s="65"/>
      <c r="X132" s="104"/>
      <c r="Y132" s="54"/>
      <c r="Z132" s="66"/>
    </row>
    <row r="133" spans="23:26" x14ac:dyDescent="0.25">
      <c r="W133" s="65"/>
      <c r="X133" s="104"/>
      <c r="Y133" s="54"/>
      <c r="Z133" s="66"/>
    </row>
    <row r="134" spans="23:26" x14ac:dyDescent="0.25">
      <c r="W134" s="65"/>
      <c r="X134" s="104"/>
      <c r="Y134" s="54"/>
      <c r="Z134" s="66"/>
    </row>
    <row r="135" spans="23:26" x14ac:dyDescent="0.25">
      <c r="W135" s="65"/>
      <c r="X135" s="104"/>
      <c r="Y135" s="54"/>
      <c r="Z135" s="66"/>
    </row>
    <row r="136" spans="23:26" x14ac:dyDescent="0.25">
      <c r="W136" s="65"/>
      <c r="X136" s="104"/>
      <c r="Y136" s="54"/>
      <c r="Z136" s="66"/>
    </row>
    <row r="137" spans="23:26" x14ac:dyDescent="0.25">
      <c r="W137" s="65"/>
      <c r="X137" s="104"/>
      <c r="Y137" s="54"/>
      <c r="Z137" s="66"/>
    </row>
    <row r="138" spans="23:26" x14ac:dyDescent="0.25">
      <c r="W138" s="65"/>
      <c r="X138" s="104"/>
      <c r="Y138" s="54"/>
      <c r="Z138" s="66"/>
    </row>
    <row r="139" spans="23:26" x14ac:dyDescent="0.25">
      <c r="W139" s="65"/>
      <c r="X139" s="104"/>
      <c r="Y139" s="54"/>
      <c r="Z139" s="66"/>
    </row>
    <row r="140" spans="23:26" x14ac:dyDescent="0.25">
      <c r="W140" s="65"/>
      <c r="X140" s="104"/>
      <c r="Y140" s="54"/>
      <c r="Z140" s="66"/>
    </row>
    <row r="141" spans="23:26" x14ac:dyDescent="0.25">
      <c r="W141" s="65"/>
      <c r="X141" s="104"/>
      <c r="Y141" s="54"/>
      <c r="Z141" s="66"/>
    </row>
    <row r="142" spans="23:26" x14ac:dyDescent="0.25">
      <c r="W142" s="65"/>
      <c r="X142" s="104"/>
      <c r="Y142" s="54"/>
      <c r="Z142" s="66"/>
    </row>
    <row r="143" spans="23:26" x14ac:dyDescent="0.25">
      <c r="W143" s="65"/>
      <c r="X143" s="104"/>
      <c r="Y143" s="54"/>
      <c r="Z143" s="66"/>
    </row>
    <row r="144" spans="23:26" x14ac:dyDescent="0.25">
      <c r="W144" s="65"/>
      <c r="X144" s="104"/>
      <c r="Y144" s="54"/>
      <c r="Z144" s="66"/>
    </row>
    <row r="145" spans="23:26" x14ac:dyDescent="0.25">
      <c r="W145" s="65"/>
      <c r="X145" s="104"/>
      <c r="Y145" s="54"/>
      <c r="Z145" s="66"/>
    </row>
    <row r="146" spans="23:26" x14ac:dyDescent="0.25">
      <c r="W146" s="65"/>
      <c r="X146" s="104"/>
      <c r="Y146" s="54"/>
      <c r="Z146" s="66"/>
    </row>
    <row r="147" spans="23:26" x14ac:dyDescent="0.25">
      <c r="W147" s="65"/>
      <c r="X147" s="104"/>
      <c r="Y147" s="54"/>
      <c r="Z147" s="66"/>
    </row>
    <row r="148" spans="23:26" x14ac:dyDescent="0.25">
      <c r="W148" s="65"/>
      <c r="X148" s="104"/>
      <c r="Y148" s="54"/>
      <c r="Z148" s="66"/>
    </row>
    <row r="149" spans="23:26" x14ac:dyDescent="0.25">
      <c r="W149" s="65"/>
      <c r="X149" s="104"/>
      <c r="Y149" s="54"/>
      <c r="Z149" s="66"/>
    </row>
    <row r="150" spans="23:26" x14ac:dyDescent="0.25">
      <c r="W150" s="65"/>
      <c r="X150" s="104"/>
      <c r="Y150" s="54"/>
      <c r="Z150" s="66"/>
    </row>
    <row r="151" spans="23:26" x14ac:dyDescent="0.25">
      <c r="W151" s="65"/>
      <c r="X151" s="104"/>
      <c r="Y151" s="54"/>
      <c r="Z151" s="66"/>
    </row>
    <row r="152" spans="23:26" x14ac:dyDescent="0.25">
      <c r="W152" s="65"/>
      <c r="X152" s="104"/>
      <c r="Y152" s="54"/>
      <c r="Z152" s="66"/>
    </row>
    <row r="153" spans="23:26" x14ac:dyDescent="0.25">
      <c r="W153" s="65"/>
      <c r="X153" s="104"/>
      <c r="Y153" s="54"/>
      <c r="Z153" s="66"/>
    </row>
    <row r="154" spans="23:26" x14ac:dyDescent="0.25">
      <c r="W154" s="65"/>
      <c r="X154" s="104"/>
      <c r="Y154" s="54"/>
      <c r="Z154" s="66"/>
    </row>
    <row r="155" spans="23:26" x14ac:dyDescent="0.25">
      <c r="W155" s="65"/>
      <c r="X155" s="104"/>
      <c r="Y155" s="54"/>
      <c r="Z155" s="66"/>
    </row>
    <row r="156" spans="23:26" x14ac:dyDescent="0.25">
      <c r="W156" s="65"/>
      <c r="X156" s="104"/>
      <c r="Y156" s="54"/>
      <c r="Z156" s="66"/>
    </row>
    <row r="157" spans="23:26" x14ac:dyDescent="0.25">
      <c r="W157" s="65"/>
      <c r="X157" s="104"/>
      <c r="Y157" s="54"/>
      <c r="Z157" s="66"/>
    </row>
    <row r="158" spans="23:26" x14ac:dyDescent="0.25">
      <c r="W158" s="65"/>
      <c r="X158" s="104"/>
      <c r="Y158" s="54"/>
      <c r="Z158" s="66"/>
    </row>
    <row r="159" spans="23:26" x14ac:dyDescent="0.25">
      <c r="W159" s="65"/>
      <c r="X159" s="104"/>
      <c r="Y159" s="54"/>
      <c r="Z159" s="66"/>
    </row>
    <row r="160" spans="23:26" x14ac:dyDescent="0.25">
      <c r="W160" s="65"/>
      <c r="X160" s="104"/>
      <c r="Y160" s="54"/>
      <c r="Z160" s="66"/>
    </row>
    <row r="161" spans="23:26" x14ac:dyDescent="0.25">
      <c r="W161" s="65"/>
      <c r="X161" s="104"/>
      <c r="Y161" s="54"/>
      <c r="Z161" s="66"/>
    </row>
    <row r="162" spans="23:26" x14ac:dyDescent="0.25">
      <c r="W162" s="65"/>
      <c r="X162" s="104"/>
      <c r="Y162" s="54"/>
      <c r="Z162" s="66"/>
    </row>
    <row r="163" spans="23:26" x14ac:dyDescent="0.25">
      <c r="W163" s="65"/>
      <c r="X163" s="104"/>
      <c r="Y163" s="54"/>
      <c r="Z163" s="66"/>
    </row>
    <row r="164" spans="23:26" x14ac:dyDescent="0.25">
      <c r="W164" s="65"/>
      <c r="X164" s="104"/>
      <c r="Y164" s="54"/>
      <c r="Z164" s="66"/>
    </row>
    <row r="165" spans="23:26" x14ac:dyDescent="0.25">
      <c r="W165" s="65"/>
      <c r="X165" s="104"/>
      <c r="Y165" s="54"/>
      <c r="Z165" s="66"/>
    </row>
    <row r="166" spans="23:26" x14ac:dyDescent="0.25">
      <c r="W166" s="65"/>
      <c r="X166" s="104"/>
      <c r="Y166" s="54"/>
      <c r="Z166" s="66"/>
    </row>
    <row r="167" spans="23:26" x14ac:dyDescent="0.25">
      <c r="W167" s="65"/>
      <c r="X167" s="104"/>
      <c r="Y167" s="54"/>
      <c r="Z167" s="66"/>
    </row>
    <row r="168" spans="23:26" x14ac:dyDescent="0.25">
      <c r="W168" s="65"/>
      <c r="X168" s="104"/>
      <c r="Y168" s="54"/>
      <c r="Z168" s="66"/>
    </row>
    <row r="169" spans="23:26" x14ac:dyDescent="0.25">
      <c r="W169" s="65"/>
      <c r="X169" s="104"/>
      <c r="Y169" s="54"/>
      <c r="Z169" s="66"/>
    </row>
    <row r="170" spans="23:26" x14ac:dyDescent="0.25">
      <c r="W170" s="65"/>
      <c r="X170" s="104"/>
      <c r="Y170" s="54"/>
      <c r="Z170" s="66"/>
    </row>
    <row r="171" spans="23:26" x14ac:dyDescent="0.25">
      <c r="W171" s="65"/>
      <c r="X171" s="104"/>
      <c r="Y171" s="54"/>
      <c r="Z171" s="66"/>
    </row>
    <row r="172" spans="23:26" x14ac:dyDescent="0.25">
      <c r="W172" s="65"/>
      <c r="X172" s="104"/>
      <c r="Y172" s="54"/>
      <c r="Z172" s="66"/>
    </row>
    <row r="173" spans="23:26" x14ac:dyDescent="0.25">
      <c r="W173" s="65"/>
      <c r="X173" s="104"/>
      <c r="Y173" s="54"/>
      <c r="Z173" s="66"/>
    </row>
    <row r="174" spans="23:26" x14ac:dyDescent="0.25">
      <c r="W174" s="65"/>
      <c r="X174" s="104"/>
      <c r="Y174" s="54"/>
      <c r="Z174" s="66"/>
    </row>
    <row r="175" spans="23:26" x14ac:dyDescent="0.25">
      <c r="W175" s="65"/>
      <c r="X175" s="104"/>
      <c r="Y175" s="54"/>
      <c r="Z175" s="66"/>
    </row>
    <row r="176" spans="23:26" x14ac:dyDescent="0.25">
      <c r="W176" s="65"/>
      <c r="X176" s="104"/>
      <c r="Y176" s="54"/>
      <c r="Z176" s="66"/>
    </row>
    <row r="177" spans="23:26" x14ac:dyDescent="0.25">
      <c r="W177" s="65"/>
      <c r="X177" s="104"/>
      <c r="Y177" s="54"/>
      <c r="Z177" s="66"/>
    </row>
    <row r="178" spans="23:26" x14ac:dyDescent="0.25">
      <c r="W178" s="65"/>
      <c r="X178" s="104"/>
      <c r="Y178" s="54"/>
      <c r="Z178" s="66"/>
    </row>
    <row r="179" spans="23:26" x14ac:dyDescent="0.25">
      <c r="W179" s="65"/>
      <c r="X179" s="104"/>
      <c r="Y179" s="54"/>
      <c r="Z179" s="66"/>
    </row>
    <row r="180" spans="23:26" x14ac:dyDescent="0.25">
      <c r="W180" s="65"/>
      <c r="X180" s="104"/>
      <c r="Y180" s="54"/>
      <c r="Z180" s="66"/>
    </row>
    <row r="181" spans="23:26" x14ac:dyDescent="0.25">
      <c r="W181" s="65"/>
      <c r="X181" s="104"/>
      <c r="Y181" s="54"/>
      <c r="Z181" s="66"/>
    </row>
    <row r="182" spans="23:26" x14ac:dyDescent="0.25">
      <c r="W182" s="65"/>
      <c r="X182" s="104"/>
      <c r="Y182" s="54"/>
      <c r="Z182" s="66"/>
    </row>
    <row r="183" spans="23:26" x14ac:dyDescent="0.25">
      <c r="W183" s="65"/>
      <c r="X183" s="104"/>
      <c r="Y183" s="54"/>
      <c r="Z183" s="66"/>
    </row>
    <row r="184" spans="23:26" x14ac:dyDescent="0.25">
      <c r="W184" s="65"/>
      <c r="X184" s="104"/>
      <c r="Y184" s="54"/>
      <c r="Z184" s="66"/>
    </row>
    <row r="185" spans="23:26" x14ac:dyDescent="0.25">
      <c r="W185" s="65"/>
      <c r="X185" s="104"/>
      <c r="Y185" s="54"/>
      <c r="Z185" s="66"/>
    </row>
    <row r="186" spans="23:26" x14ac:dyDescent="0.25">
      <c r="W186" s="65"/>
      <c r="X186" s="104"/>
      <c r="Y186" s="54"/>
      <c r="Z186" s="66"/>
    </row>
    <row r="187" spans="23:26" x14ac:dyDescent="0.25">
      <c r="W187" s="65"/>
      <c r="X187" s="104"/>
      <c r="Y187" s="54"/>
      <c r="Z187" s="66"/>
    </row>
    <row r="188" spans="23:26" x14ac:dyDescent="0.25">
      <c r="W188" s="65"/>
      <c r="X188" s="104"/>
      <c r="Y188" s="54"/>
      <c r="Z188" s="66"/>
    </row>
    <row r="189" spans="23:26" x14ac:dyDescent="0.25">
      <c r="W189" s="65"/>
      <c r="X189" s="104"/>
      <c r="Y189" s="54"/>
      <c r="Z189" s="66"/>
    </row>
    <row r="190" spans="23:26" x14ac:dyDescent="0.25">
      <c r="W190" s="65"/>
      <c r="X190" s="104"/>
      <c r="Y190" s="54"/>
      <c r="Z190" s="66"/>
    </row>
    <row r="191" spans="23:26" x14ac:dyDescent="0.25">
      <c r="W191" s="65"/>
      <c r="X191" s="104"/>
      <c r="Y191" s="54"/>
      <c r="Z191" s="66"/>
    </row>
    <row r="192" spans="23:26" x14ac:dyDescent="0.25">
      <c r="W192" s="65"/>
      <c r="X192" s="104"/>
      <c r="Y192" s="54"/>
      <c r="Z192" s="66"/>
    </row>
    <row r="193" spans="23:26" x14ac:dyDescent="0.25">
      <c r="W193" s="65"/>
      <c r="X193" s="104"/>
      <c r="Y193" s="54"/>
      <c r="Z193" s="66"/>
    </row>
    <row r="194" spans="23:26" x14ac:dyDescent="0.25">
      <c r="W194" s="65"/>
      <c r="X194" s="104"/>
      <c r="Y194" s="54"/>
      <c r="Z194" s="66"/>
    </row>
    <row r="195" spans="23:26" x14ac:dyDescent="0.25">
      <c r="W195" s="65"/>
      <c r="X195" s="104"/>
      <c r="Y195" s="54"/>
      <c r="Z195" s="66"/>
    </row>
    <row r="196" spans="23:26" x14ac:dyDescent="0.25">
      <c r="W196" s="65"/>
      <c r="X196" s="104"/>
      <c r="Y196" s="54"/>
      <c r="Z196" s="66"/>
    </row>
    <row r="197" spans="23:26" x14ac:dyDescent="0.25">
      <c r="W197" s="65"/>
      <c r="X197" s="104"/>
      <c r="Y197" s="54"/>
      <c r="Z197" s="66"/>
    </row>
    <row r="198" spans="23:26" x14ac:dyDescent="0.25">
      <c r="W198" s="65"/>
      <c r="X198" s="104"/>
      <c r="Y198" s="54"/>
      <c r="Z198" s="66"/>
    </row>
    <row r="199" spans="23:26" x14ac:dyDescent="0.25">
      <c r="W199" s="65"/>
      <c r="X199" s="104"/>
      <c r="Y199" s="54"/>
      <c r="Z199" s="66"/>
    </row>
    <row r="200" spans="23:26" x14ac:dyDescent="0.25">
      <c r="W200" s="65"/>
      <c r="X200" s="104"/>
      <c r="Y200" s="54"/>
      <c r="Z200" s="66"/>
    </row>
    <row r="201" spans="23:26" x14ac:dyDescent="0.25">
      <c r="W201" s="65"/>
      <c r="X201" s="104"/>
      <c r="Y201" s="54"/>
      <c r="Z201" s="66"/>
    </row>
    <row r="202" spans="23:26" x14ac:dyDescent="0.25">
      <c r="W202" s="65"/>
      <c r="X202" s="104"/>
      <c r="Y202" s="54"/>
      <c r="Z202" s="66"/>
    </row>
    <row r="203" spans="23:26" x14ac:dyDescent="0.25">
      <c r="W203" s="65"/>
      <c r="X203" s="104"/>
      <c r="Y203" s="54"/>
      <c r="Z203" s="66"/>
    </row>
    <row r="204" spans="23:26" x14ac:dyDescent="0.25">
      <c r="W204" s="65"/>
      <c r="X204" s="104"/>
      <c r="Y204" s="54"/>
      <c r="Z204" s="66"/>
    </row>
    <row r="205" spans="23:26" x14ac:dyDescent="0.25">
      <c r="W205" s="65"/>
      <c r="X205" s="104"/>
      <c r="Y205" s="54"/>
      <c r="Z205" s="66"/>
    </row>
    <row r="206" spans="23:26" x14ac:dyDescent="0.25">
      <c r="W206" s="65"/>
      <c r="X206" s="104"/>
      <c r="Y206" s="54"/>
      <c r="Z206" s="66"/>
    </row>
    <row r="207" spans="23:26" x14ac:dyDescent="0.25">
      <c r="W207" s="65"/>
      <c r="X207" s="104"/>
      <c r="Y207" s="54"/>
      <c r="Z207" s="66"/>
    </row>
    <row r="208" spans="23:26" x14ac:dyDescent="0.25">
      <c r="W208" s="65"/>
      <c r="X208" s="104"/>
      <c r="Y208" s="54"/>
      <c r="Z208" s="66"/>
    </row>
    <row r="209" spans="23:26" x14ac:dyDescent="0.25">
      <c r="W209" s="65"/>
      <c r="X209" s="104"/>
      <c r="Y209" s="54"/>
      <c r="Z209" s="66"/>
    </row>
    <row r="210" spans="23:26" x14ac:dyDescent="0.25">
      <c r="W210" s="65"/>
      <c r="X210" s="104"/>
      <c r="Y210" s="54"/>
      <c r="Z210" s="66"/>
    </row>
    <row r="211" spans="23:26" x14ac:dyDescent="0.25">
      <c r="W211" s="65"/>
      <c r="X211" s="104"/>
      <c r="Y211" s="54"/>
      <c r="Z211" s="66"/>
    </row>
    <row r="212" spans="23:26" x14ac:dyDescent="0.25">
      <c r="W212" s="65"/>
      <c r="X212" s="104"/>
      <c r="Y212" s="54"/>
      <c r="Z212" s="66"/>
    </row>
    <row r="213" spans="23:26" x14ac:dyDescent="0.25">
      <c r="W213" s="65"/>
      <c r="X213" s="104"/>
      <c r="Y213" s="54"/>
      <c r="Z213" s="66"/>
    </row>
    <row r="214" spans="23:26" x14ac:dyDescent="0.25">
      <c r="W214" s="65"/>
      <c r="X214" s="104"/>
      <c r="Y214" s="54"/>
      <c r="Z214" s="66"/>
    </row>
    <row r="215" spans="23:26" x14ac:dyDescent="0.25">
      <c r="W215" s="65"/>
      <c r="X215" s="104"/>
      <c r="Y215" s="54"/>
      <c r="Z215" s="66"/>
    </row>
    <row r="216" spans="23:26" x14ac:dyDescent="0.25">
      <c r="W216" s="65"/>
      <c r="X216" s="104"/>
      <c r="Y216" s="54"/>
      <c r="Z216" s="66"/>
    </row>
    <row r="217" spans="23:26" x14ac:dyDescent="0.25">
      <c r="W217" s="65"/>
      <c r="X217" s="104"/>
      <c r="Y217" s="54"/>
      <c r="Z217" s="66"/>
    </row>
    <row r="218" spans="23:26" x14ac:dyDescent="0.25">
      <c r="W218" s="65"/>
      <c r="X218" s="104"/>
      <c r="Y218" s="54"/>
      <c r="Z218" s="66"/>
    </row>
    <row r="219" spans="23:26" x14ac:dyDescent="0.25">
      <c r="W219" s="65"/>
      <c r="X219" s="104"/>
      <c r="Y219" s="54"/>
      <c r="Z219" s="66"/>
    </row>
    <row r="220" spans="23:26" x14ac:dyDescent="0.25">
      <c r="W220" s="65"/>
      <c r="X220" s="104"/>
      <c r="Y220" s="54"/>
      <c r="Z220" s="66"/>
    </row>
    <row r="221" spans="23:26" x14ac:dyDescent="0.25">
      <c r="W221" s="65"/>
      <c r="X221" s="104"/>
      <c r="Y221" s="54"/>
      <c r="Z221" s="66"/>
    </row>
    <row r="222" spans="23:26" x14ac:dyDescent="0.25">
      <c r="W222" s="65"/>
      <c r="X222" s="104"/>
      <c r="Y222" s="54"/>
      <c r="Z222" s="66"/>
    </row>
    <row r="223" spans="23:26" x14ac:dyDescent="0.25">
      <c r="W223" s="65"/>
      <c r="X223" s="104"/>
      <c r="Y223" s="54"/>
      <c r="Z223" s="66"/>
    </row>
    <row r="224" spans="23:26" x14ac:dyDescent="0.25">
      <c r="W224" s="65"/>
      <c r="X224" s="104"/>
      <c r="Y224" s="54"/>
      <c r="Z224" s="66"/>
    </row>
    <row r="225" spans="23:26" x14ac:dyDescent="0.25">
      <c r="W225" s="65"/>
      <c r="X225" s="104"/>
      <c r="Y225" s="54"/>
      <c r="Z225" s="66"/>
    </row>
    <row r="226" spans="23:26" x14ac:dyDescent="0.25">
      <c r="W226" s="65"/>
      <c r="X226" s="104"/>
      <c r="Y226" s="54"/>
      <c r="Z226" s="66"/>
    </row>
    <row r="227" spans="23:26" x14ac:dyDescent="0.25">
      <c r="W227" s="65"/>
      <c r="X227" s="104"/>
      <c r="Y227" s="54"/>
      <c r="Z227" s="66"/>
    </row>
    <row r="228" spans="23:26" x14ac:dyDescent="0.25">
      <c r="W228" s="65"/>
      <c r="X228" s="104"/>
      <c r="Y228" s="54"/>
      <c r="Z228" s="66"/>
    </row>
    <row r="229" spans="23:26" x14ac:dyDescent="0.25">
      <c r="W229" s="65"/>
      <c r="X229" s="104"/>
      <c r="Y229" s="54"/>
      <c r="Z229" s="66"/>
    </row>
    <row r="230" spans="23:26" x14ac:dyDescent="0.25">
      <c r="W230" s="65"/>
      <c r="X230" s="104"/>
      <c r="Y230" s="54"/>
      <c r="Z230" s="66"/>
    </row>
    <row r="231" spans="23:26" x14ac:dyDescent="0.25">
      <c r="W231" s="65"/>
      <c r="X231" s="104"/>
      <c r="Y231" s="54"/>
      <c r="Z231" s="66"/>
    </row>
    <row r="232" spans="23:26" x14ac:dyDescent="0.25">
      <c r="W232" s="65"/>
      <c r="X232" s="104"/>
      <c r="Y232" s="54"/>
      <c r="Z232" s="66"/>
    </row>
    <row r="233" spans="23:26" x14ac:dyDescent="0.25">
      <c r="W233" s="65"/>
      <c r="X233" s="104"/>
      <c r="Y233" s="54"/>
      <c r="Z233" s="66"/>
    </row>
    <row r="234" spans="23:26" x14ac:dyDescent="0.25">
      <c r="W234" s="65"/>
      <c r="X234" s="104"/>
      <c r="Y234" s="54"/>
      <c r="Z234" s="66"/>
    </row>
    <row r="235" spans="23:26" x14ac:dyDescent="0.25">
      <c r="W235" s="65"/>
      <c r="X235" s="104"/>
      <c r="Y235" s="54"/>
      <c r="Z235" s="66"/>
    </row>
    <row r="236" spans="23:26" x14ac:dyDescent="0.25">
      <c r="W236" s="65"/>
      <c r="X236" s="104"/>
      <c r="Y236" s="54"/>
      <c r="Z236" s="66"/>
    </row>
    <row r="237" spans="23:26" x14ac:dyDescent="0.25">
      <c r="W237" s="65"/>
      <c r="X237" s="104"/>
      <c r="Y237" s="54"/>
      <c r="Z237" s="66"/>
    </row>
    <row r="238" spans="23:26" x14ac:dyDescent="0.25">
      <c r="W238" s="65"/>
      <c r="X238" s="104"/>
      <c r="Y238" s="54"/>
      <c r="Z238" s="66"/>
    </row>
    <row r="239" spans="23:26" x14ac:dyDescent="0.25">
      <c r="W239" s="65"/>
      <c r="X239" s="104"/>
      <c r="Y239" s="54"/>
      <c r="Z239" s="66"/>
    </row>
    <row r="240" spans="23:26" x14ac:dyDescent="0.25">
      <c r="W240" s="65"/>
      <c r="X240" s="104"/>
      <c r="Y240" s="54"/>
      <c r="Z240" s="66"/>
    </row>
    <row r="241" spans="23:26" x14ac:dyDescent="0.25">
      <c r="W241" s="65"/>
      <c r="X241" s="104"/>
      <c r="Y241" s="54"/>
      <c r="Z241" s="66"/>
    </row>
    <row r="242" spans="23:26" x14ac:dyDescent="0.25">
      <c r="W242" s="65"/>
      <c r="X242" s="104"/>
      <c r="Y242" s="54"/>
      <c r="Z242" s="66"/>
    </row>
    <row r="243" spans="23:26" x14ac:dyDescent="0.25">
      <c r="W243" s="65"/>
      <c r="X243" s="104"/>
      <c r="Y243" s="54"/>
      <c r="Z243" s="66"/>
    </row>
    <row r="244" spans="23:26" x14ac:dyDescent="0.25">
      <c r="W244" s="65"/>
      <c r="X244" s="104"/>
      <c r="Y244" s="54"/>
      <c r="Z244" s="66"/>
    </row>
    <row r="245" spans="23:26" x14ac:dyDescent="0.25">
      <c r="W245" s="65"/>
      <c r="X245" s="104"/>
      <c r="Y245" s="54"/>
      <c r="Z245" s="66"/>
    </row>
    <row r="246" spans="23:26" x14ac:dyDescent="0.25">
      <c r="W246" s="65"/>
      <c r="X246" s="104"/>
      <c r="Y246" s="54"/>
      <c r="Z246" s="66"/>
    </row>
    <row r="247" spans="23:26" x14ac:dyDescent="0.25">
      <c r="W247" s="65"/>
      <c r="X247" s="104"/>
      <c r="Y247" s="54"/>
      <c r="Z247" s="66"/>
    </row>
    <row r="248" spans="23:26" x14ac:dyDescent="0.25">
      <c r="W248" s="65"/>
      <c r="X248" s="104"/>
      <c r="Y248" s="54"/>
      <c r="Z248" s="66"/>
    </row>
    <row r="249" spans="23:26" x14ac:dyDescent="0.25">
      <c r="W249" s="65"/>
      <c r="X249" s="104"/>
      <c r="Y249" s="54"/>
      <c r="Z249" s="66"/>
    </row>
    <row r="250" spans="23:26" x14ac:dyDescent="0.25">
      <c r="W250" s="65"/>
      <c r="X250" s="104"/>
      <c r="Y250" s="54"/>
      <c r="Z250" s="66"/>
    </row>
    <row r="251" spans="23:26" x14ac:dyDescent="0.25">
      <c r="W251" s="65"/>
      <c r="X251" s="104"/>
      <c r="Y251" s="54"/>
      <c r="Z251" s="66"/>
    </row>
    <row r="252" spans="23:26" x14ac:dyDescent="0.25">
      <c r="W252" s="65"/>
      <c r="X252" s="104"/>
      <c r="Y252" s="54"/>
      <c r="Z252" s="66"/>
    </row>
    <row r="253" spans="23:26" x14ac:dyDescent="0.25">
      <c r="W253" s="65"/>
      <c r="X253" s="104"/>
      <c r="Y253" s="54"/>
      <c r="Z253" s="66"/>
    </row>
    <row r="254" spans="23:26" x14ac:dyDescent="0.25">
      <c r="W254" s="65"/>
      <c r="X254" s="104"/>
      <c r="Y254" s="54"/>
      <c r="Z254" s="66"/>
    </row>
    <row r="255" spans="23:26" x14ac:dyDescent="0.25">
      <c r="W255" s="65"/>
      <c r="X255" s="104"/>
      <c r="Y255" s="54"/>
      <c r="Z255" s="66"/>
    </row>
    <row r="256" spans="23:26" x14ac:dyDescent="0.25">
      <c r="W256" s="65"/>
      <c r="X256" s="104"/>
      <c r="Y256" s="54"/>
      <c r="Z256" s="66"/>
    </row>
    <row r="257" spans="23:26" x14ac:dyDescent="0.25">
      <c r="W257" s="65"/>
      <c r="X257" s="104"/>
      <c r="Y257" s="54"/>
      <c r="Z257" s="66"/>
    </row>
    <row r="258" spans="23:26" x14ac:dyDescent="0.25">
      <c r="W258" s="65"/>
      <c r="X258" s="104"/>
      <c r="Y258" s="54"/>
      <c r="Z258" s="66"/>
    </row>
    <row r="259" spans="23:26" x14ac:dyDescent="0.25">
      <c r="W259" s="65"/>
      <c r="X259" s="104"/>
      <c r="Y259" s="54"/>
      <c r="Z259" s="66"/>
    </row>
    <row r="260" spans="23:26" x14ac:dyDescent="0.25">
      <c r="W260" s="65"/>
      <c r="X260" s="104"/>
      <c r="Y260" s="54"/>
      <c r="Z260" s="66"/>
    </row>
    <row r="261" spans="23:26" x14ac:dyDescent="0.25">
      <c r="W261" s="65"/>
      <c r="X261" s="104"/>
      <c r="Y261" s="54"/>
      <c r="Z261" s="66"/>
    </row>
    <row r="262" spans="23:26" x14ac:dyDescent="0.25">
      <c r="W262" s="65"/>
      <c r="X262" s="104"/>
      <c r="Y262" s="54"/>
      <c r="Z262" s="66"/>
    </row>
    <row r="263" spans="23:26" x14ac:dyDescent="0.25">
      <c r="W263" s="65"/>
      <c r="X263" s="104"/>
      <c r="Y263" s="54"/>
      <c r="Z263" s="66"/>
    </row>
    <row r="264" spans="23:26" x14ac:dyDescent="0.25">
      <c r="W264" s="65"/>
      <c r="X264" s="104"/>
      <c r="Y264" s="54"/>
      <c r="Z264" s="66"/>
    </row>
    <row r="265" spans="23:26" x14ac:dyDescent="0.25">
      <c r="W265" s="65"/>
      <c r="X265" s="104"/>
      <c r="Y265" s="54"/>
      <c r="Z265" s="66"/>
    </row>
    <row r="266" spans="23:26" x14ac:dyDescent="0.25">
      <c r="W266" s="65"/>
      <c r="X266" s="104"/>
      <c r="Y266" s="54"/>
      <c r="Z266" s="66"/>
    </row>
    <row r="267" spans="23:26" x14ac:dyDescent="0.25">
      <c r="W267" s="65"/>
      <c r="X267" s="104"/>
      <c r="Y267" s="54"/>
      <c r="Z267" s="66"/>
    </row>
    <row r="268" spans="23:26" x14ac:dyDescent="0.25">
      <c r="W268" s="65"/>
      <c r="X268" s="104"/>
      <c r="Y268" s="54"/>
      <c r="Z268" s="66"/>
    </row>
    <row r="269" spans="23:26" x14ac:dyDescent="0.25">
      <c r="W269" s="65"/>
      <c r="X269" s="104"/>
      <c r="Y269" s="54"/>
      <c r="Z269" s="66"/>
    </row>
    <row r="270" spans="23:26" x14ac:dyDescent="0.25">
      <c r="W270" s="65"/>
      <c r="X270" s="104"/>
      <c r="Y270" s="54"/>
      <c r="Z270" s="66"/>
    </row>
    <row r="271" spans="23:26" x14ac:dyDescent="0.25">
      <c r="W271" s="65"/>
      <c r="X271" s="104"/>
      <c r="Y271" s="54"/>
      <c r="Z271" s="66"/>
    </row>
    <row r="272" spans="23:26" x14ac:dyDescent="0.25">
      <c r="W272" s="65"/>
      <c r="X272" s="104"/>
      <c r="Y272" s="54"/>
      <c r="Z272" s="66"/>
    </row>
    <row r="273" spans="23:26" x14ac:dyDescent="0.25">
      <c r="W273" s="65"/>
      <c r="X273" s="104"/>
      <c r="Y273" s="54"/>
      <c r="Z273" s="66"/>
    </row>
    <row r="274" spans="23:26" x14ac:dyDescent="0.25">
      <c r="W274" s="65"/>
      <c r="X274" s="104"/>
      <c r="Y274" s="54"/>
      <c r="Z274" s="66"/>
    </row>
    <row r="275" spans="23:26" x14ac:dyDescent="0.25">
      <c r="W275" s="65"/>
      <c r="X275" s="104"/>
      <c r="Y275" s="54"/>
      <c r="Z275" s="66"/>
    </row>
    <row r="276" spans="23:26" x14ac:dyDescent="0.25">
      <c r="W276" s="65"/>
      <c r="X276" s="104"/>
      <c r="Y276" s="54"/>
      <c r="Z276" s="66"/>
    </row>
    <row r="277" spans="23:26" x14ac:dyDescent="0.25">
      <c r="W277" s="65"/>
      <c r="X277" s="104"/>
      <c r="Y277" s="54"/>
      <c r="Z277" s="66"/>
    </row>
    <row r="278" spans="23:26" x14ac:dyDescent="0.25">
      <c r="W278" s="65"/>
      <c r="X278" s="104"/>
      <c r="Y278" s="54"/>
      <c r="Z278" s="66"/>
    </row>
    <row r="279" spans="23:26" x14ac:dyDescent="0.25">
      <c r="W279" s="65"/>
      <c r="X279" s="104"/>
      <c r="Y279" s="54"/>
      <c r="Z279" s="66"/>
    </row>
    <row r="280" spans="23:26" x14ac:dyDescent="0.25">
      <c r="W280" s="65"/>
      <c r="X280" s="104"/>
      <c r="Y280" s="54"/>
      <c r="Z280" s="66"/>
    </row>
    <row r="281" spans="23:26" x14ac:dyDescent="0.25">
      <c r="W281" s="65"/>
      <c r="X281" s="104"/>
      <c r="Y281" s="54"/>
      <c r="Z281" s="66"/>
    </row>
    <row r="282" spans="23:26" x14ac:dyDescent="0.25">
      <c r="W282" s="65"/>
      <c r="X282" s="104"/>
      <c r="Y282" s="54"/>
      <c r="Z282" s="66"/>
    </row>
    <row r="283" spans="23:26" x14ac:dyDescent="0.25">
      <c r="W283" s="65"/>
      <c r="X283" s="104"/>
      <c r="Y283" s="54"/>
      <c r="Z283" s="66"/>
    </row>
    <row r="284" spans="23:26" x14ac:dyDescent="0.25">
      <c r="W284" s="65"/>
      <c r="X284" s="104"/>
      <c r="Y284" s="54"/>
      <c r="Z284" s="66"/>
    </row>
    <row r="285" spans="23:26" x14ac:dyDescent="0.25">
      <c r="W285" s="65"/>
      <c r="X285" s="104"/>
      <c r="Y285" s="54"/>
      <c r="Z285" s="66"/>
    </row>
    <row r="286" spans="23:26" x14ac:dyDescent="0.25">
      <c r="W286" s="65"/>
      <c r="X286" s="104"/>
      <c r="Y286" s="54"/>
      <c r="Z286" s="66"/>
    </row>
    <row r="287" spans="23:26" x14ac:dyDescent="0.25">
      <c r="W287" s="65"/>
      <c r="X287" s="104"/>
      <c r="Y287" s="54"/>
      <c r="Z287" s="66"/>
    </row>
    <row r="288" spans="23:26" x14ac:dyDescent="0.25">
      <c r="W288" s="65"/>
      <c r="X288" s="104"/>
      <c r="Y288" s="54"/>
      <c r="Z288" s="66"/>
    </row>
    <row r="289" spans="23:26" x14ac:dyDescent="0.25">
      <c r="W289" s="65"/>
      <c r="X289" s="104"/>
      <c r="Y289" s="54"/>
      <c r="Z289" s="66"/>
    </row>
    <row r="290" spans="23:26" x14ac:dyDescent="0.25">
      <c r="W290" s="65"/>
      <c r="X290" s="104"/>
      <c r="Y290" s="54"/>
      <c r="Z290" s="66"/>
    </row>
    <row r="291" spans="23:26" x14ac:dyDescent="0.25">
      <c r="W291" s="65"/>
      <c r="X291" s="104"/>
      <c r="Y291" s="54"/>
      <c r="Z291" s="66"/>
    </row>
    <row r="292" spans="23:26" x14ac:dyDescent="0.25">
      <c r="W292" s="65"/>
      <c r="X292" s="104"/>
      <c r="Y292" s="54"/>
      <c r="Z292" s="66"/>
    </row>
    <row r="293" spans="23:26" x14ac:dyDescent="0.25">
      <c r="W293" s="65"/>
      <c r="X293" s="104"/>
      <c r="Y293" s="54"/>
      <c r="Z293" s="66"/>
    </row>
    <row r="294" spans="23:26" x14ac:dyDescent="0.25">
      <c r="W294" s="65"/>
      <c r="X294" s="104"/>
      <c r="Y294" s="54"/>
      <c r="Z294" s="66"/>
    </row>
    <row r="295" spans="23:26" x14ac:dyDescent="0.25">
      <c r="W295" s="65"/>
      <c r="X295" s="104"/>
      <c r="Y295" s="54"/>
      <c r="Z295" s="66"/>
    </row>
    <row r="296" spans="23:26" x14ac:dyDescent="0.25">
      <c r="W296" s="65"/>
      <c r="X296" s="104"/>
      <c r="Y296" s="54"/>
      <c r="Z296" s="66"/>
    </row>
    <row r="297" spans="23:26" x14ac:dyDescent="0.25">
      <c r="W297" s="65"/>
      <c r="X297" s="104"/>
      <c r="Y297" s="54"/>
      <c r="Z297" s="66"/>
    </row>
    <row r="298" spans="23:26" x14ac:dyDescent="0.25">
      <c r="W298" s="65"/>
      <c r="X298" s="104"/>
      <c r="Y298" s="54"/>
      <c r="Z298" s="66"/>
    </row>
    <row r="299" spans="23:26" x14ac:dyDescent="0.25">
      <c r="W299" s="65"/>
      <c r="X299" s="104"/>
      <c r="Y299" s="54"/>
      <c r="Z299" s="66"/>
    </row>
    <row r="300" spans="23:26" x14ac:dyDescent="0.25">
      <c r="W300" s="65"/>
      <c r="X300" s="104"/>
      <c r="Y300" s="54"/>
      <c r="Z300" s="66"/>
    </row>
    <row r="301" spans="23:26" x14ac:dyDescent="0.25">
      <c r="W301" s="65"/>
      <c r="X301" s="104"/>
      <c r="Y301" s="54"/>
      <c r="Z301" s="66"/>
    </row>
    <row r="302" spans="23:26" x14ac:dyDescent="0.25">
      <c r="W302" s="65"/>
      <c r="X302" s="104"/>
      <c r="Y302" s="54"/>
      <c r="Z302" s="66"/>
    </row>
    <row r="303" spans="23:26" x14ac:dyDescent="0.25">
      <c r="W303" s="65"/>
      <c r="X303" s="104"/>
      <c r="Y303" s="54"/>
      <c r="Z303" s="66"/>
    </row>
    <row r="304" spans="23:26" x14ac:dyDescent="0.25">
      <c r="W304" s="65"/>
      <c r="X304" s="104"/>
      <c r="Y304" s="54"/>
      <c r="Z304" s="66"/>
    </row>
    <row r="305" spans="23:26" x14ac:dyDescent="0.25">
      <c r="W305" s="65"/>
      <c r="X305" s="104"/>
      <c r="Y305" s="54"/>
      <c r="Z305" s="66"/>
    </row>
    <row r="306" spans="23:26" x14ac:dyDescent="0.25">
      <c r="W306" s="65"/>
      <c r="X306" s="104"/>
      <c r="Y306" s="54"/>
      <c r="Z306" s="66"/>
    </row>
    <row r="307" spans="23:26" x14ac:dyDescent="0.25">
      <c r="W307" s="65"/>
      <c r="X307" s="104"/>
      <c r="Y307" s="54"/>
      <c r="Z307" s="66"/>
    </row>
    <row r="308" spans="23:26" x14ac:dyDescent="0.25">
      <c r="W308" s="65"/>
      <c r="X308" s="104"/>
      <c r="Y308" s="54"/>
      <c r="Z308" s="66"/>
    </row>
    <row r="309" spans="23:26" x14ac:dyDescent="0.25">
      <c r="W309" s="65"/>
      <c r="X309" s="104"/>
      <c r="Y309" s="54"/>
      <c r="Z309" s="66"/>
    </row>
    <row r="310" spans="23:26" x14ac:dyDescent="0.25">
      <c r="W310" s="65"/>
      <c r="X310" s="104"/>
      <c r="Y310" s="54"/>
      <c r="Z310" s="66"/>
    </row>
    <row r="311" spans="23:26" x14ac:dyDescent="0.25">
      <c r="W311" s="65"/>
      <c r="X311" s="104"/>
      <c r="Y311" s="54"/>
      <c r="Z311" s="66"/>
    </row>
    <row r="312" spans="23:26" x14ac:dyDescent="0.25">
      <c r="W312" s="65"/>
      <c r="X312" s="104"/>
      <c r="Y312" s="54"/>
      <c r="Z312" s="66"/>
    </row>
    <row r="313" spans="23:26" x14ac:dyDescent="0.25">
      <c r="W313" s="65"/>
      <c r="X313" s="104"/>
      <c r="Y313" s="54"/>
      <c r="Z313" s="66"/>
    </row>
    <row r="314" spans="23:26" x14ac:dyDescent="0.25">
      <c r="W314" s="65"/>
      <c r="X314" s="104"/>
      <c r="Y314" s="54"/>
      <c r="Z314" s="66"/>
    </row>
    <row r="315" spans="23:26" x14ac:dyDescent="0.25">
      <c r="W315" s="65"/>
      <c r="X315" s="104"/>
      <c r="Y315" s="54"/>
      <c r="Z315" s="66"/>
    </row>
    <row r="316" spans="23:26" x14ac:dyDescent="0.25">
      <c r="W316" s="65"/>
      <c r="X316" s="104"/>
      <c r="Y316" s="54"/>
      <c r="Z316" s="66"/>
    </row>
    <row r="317" spans="23:26" x14ac:dyDescent="0.25">
      <c r="W317" s="65"/>
      <c r="X317" s="104"/>
      <c r="Y317" s="54"/>
      <c r="Z317" s="66"/>
    </row>
    <row r="318" spans="23:26" x14ac:dyDescent="0.25">
      <c r="W318" s="65"/>
      <c r="X318" s="104"/>
      <c r="Y318" s="54"/>
      <c r="Z318" s="66"/>
    </row>
    <row r="319" spans="23:26" x14ac:dyDescent="0.25">
      <c r="W319" s="65"/>
      <c r="X319" s="104"/>
      <c r="Y319" s="54"/>
      <c r="Z319" s="66"/>
    </row>
    <row r="320" spans="23:26" x14ac:dyDescent="0.25">
      <c r="W320" s="65"/>
      <c r="X320" s="104"/>
      <c r="Y320" s="54"/>
      <c r="Z320" s="66"/>
    </row>
    <row r="321" spans="23:26" x14ac:dyDescent="0.25">
      <c r="W321" s="65"/>
      <c r="X321" s="104"/>
      <c r="Y321" s="54"/>
      <c r="Z321" s="66"/>
    </row>
    <row r="322" spans="23:26" x14ac:dyDescent="0.25">
      <c r="W322" s="65"/>
      <c r="X322" s="104"/>
      <c r="Y322" s="54"/>
      <c r="Z322" s="66"/>
    </row>
    <row r="323" spans="23:26" x14ac:dyDescent="0.25">
      <c r="W323" s="65"/>
      <c r="X323" s="104"/>
      <c r="Y323" s="54"/>
      <c r="Z323" s="66"/>
    </row>
    <row r="324" spans="23:26" x14ac:dyDescent="0.25">
      <c r="W324" s="65"/>
      <c r="X324" s="104"/>
      <c r="Y324" s="54"/>
      <c r="Z324" s="66"/>
    </row>
    <row r="325" spans="23:26" x14ac:dyDescent="0.25">
      <c r="W325" s="65"/>
      <c r="X325" s="104"/>
      <c r="Y325" s="54"/>
      <c r="Z325" s="66"/>
    </row>
    <row r="326" spans="23:26" x14ac:dyDescent="0.25">
      <c r="W326" s="65"/>
      <c r="X326" s="104"/>
      <c r="Y326" s="54"/>
      <c r="Z326" s="66"/>
    </row>
    <row r="327" spans="23:26" x14ac:dyDescent="0.25">
      <c r="W327" s="65"/>
      <c r="X327" s="104"/>
      <c r="Y327" s="54"/>
      <c r="Z327" s="66"/>
    </row>
    <row r="328" spans="23:26" x14ac:dyDescent="0.25">
      <c r="W328" s="65"/>
      <c r="X328" s="104"/>
      <c r="Y328" s="54"/>
      <c r="Z328" s="66"/>
    </row>
    <row r="329" spans="23:26" x14ac:dyDescent="0.25">
      <c r="W329" s="65"/>
      <c r="X329" s="104"/>
      <c r="Y329" s="54"/>
      <c r="Z329" s="66"/>
    </row>
    <row r="330" spans="23:26" x14ac:dyDescent="0.25">
      <c r="W330" s="65"/>
      <c r="X330" s="104"/>
      <c r="Y330" s="54"/>
      <c r="Z330" s="66"/>
    </row>
    <row r="331" spans="23:26" x14ac:dyDescent="0.25">
      <c r="W331" s="65"/>
      <c r="X331" s="104"/>
      <c r="Y331" s="54"/>
      <c r="Z331" s="66"/>
    </row>
    <row r="332" spans="23:26" x14ac:dyDescent="0.25">
      <c r="W332" s="65"/>
      <c r="X332" s="104"/>
      <c r="Y332" s="54"/>
      <c r="Z332" s="66"/>
    </row>
    <row r="333" spans="23:26" x14ac:dyDescent="0.25">
      <c r="W333" s="65"/>
      <c r="X333" s="104"/>
      <c r="Y333" s="54"/>
      <c r="Z333" s="66"/>
    </row>
    <row r="334" spans="23:26" x14ac:dyDescent="0.25">
      <c r="W334" s="65"/>
      <c r="X334" s="104"/>
      <c r="Y334" s="54"/>
      <c r="Z334" s="66"/>
    </row>
    <row r="335" spans="23:26" x14ac:dyDescent="0.25">
      <c r="W335" s="65"/>
      <c r="X335" s="104"/>
      <c r="Y335" s="54"/>
      <c r="Z335" s="66"/>
    </row>
    <row r="336" spans="23:26" x14ac:dyDescent="0.25">
      <c r="W336" s="65"/>
      <c r="X336" s="104"/>
      <c r="Y336" s="54"/>
      <c r="Z336" s="66"/>
    </row>
    <row r="337" spans="23:26" x14ac:dyDescent="0.25">
      <c r="W337" s="65"/>
      <c r="X337" s="104"/>
      <c r="Y337" s="54"/>
      <c r="Z337" s="66"/>
    </row>
    <row r="338" spans="23:26" x14ac:dyDescent="0.25">
      <c r="W338" s="65"/>
      <c r="X338" s="104"/>
      <c r="Y338" s="54"/>
      <c r="Z338" s="66"/>
    </row>
    <row r="339" spans="23:26" x14ac:dyDescent="0.25">
      <c r="W339" s="65"/>
      <c r="X339" s="104"/>
      <c r="Y339" s="54"/>
      <c r="Z339" s="66"/>
    </row>
    <row r="340" spans="23:26" x14ac:dyDescent="0.25">
      <c r="W340" s="65"/>
      <c r="X340" s="104"/>
      <c r="Y340" s="54"/>
      <c r="Z340" s="66"/>
    </row>
    <row r="341" spans="23:26" x14ac:dyDescent="0.25">
      <c r="W341" s="65"/>
      <c r="X341" s="104"/>
      <c r="Y341" s="54"/>
      <c r="Z341" s="66"/>
    </row>
    <row r="342" spans="23:26" x14ac:dyDescent="0.25">
      <c r="W342" s="65"/>
      <c r="X342" s="104"/>
      <c r="Y342" s="54"/>
      <c r="Z342" s="66"/>
    </row>
    <row r="343" spans="23:26" x14ac:dyDescent="0.25">
      <c r="W343" s="65"/>
      <c r="X343" s="104"/>
      <c r="Y343" s="54"/>
      <c r="Z343" s="66"/>
    </row>
    <row r="344" spans="23:26" x14ac:dyDescent="0.25">
      <c r="W344" s="65"/>
      <c r="X344" s="104"/>
      <c r="Y344" s="54"/>
      <c r="Z344" s="66"/>
    </row>
    <row r="345" spans="23:26" x14ac:dyDescent="0.25">
      <c r="W345" s="65"/>
      <c r="X345" s="104"/>
      <c r="Y345" s="54"/>
      <c r="Z345" s="66"/>
    </row>
    <row r="346" spans="23:26" x14ac:dyDescent="0.25">
      <c r="W346" s="65"/>
      <c r="X346" s="104"/>
      <c r="Y346" s="54"/>
      <c r="Z346" s="66"/>
    </row>
    <row r="347" spans="23:26" x14ac:dyDescent="0.25">
      <c r="W347" s="65"/>
      <c r="X347" s="104"/>
      <c r="Y347" s="54"/>
      <c r="Z347" s="66"/>
    </row>
    <row r="348" spans="23:26" x14ac:dyDescent="0.25">
      <c r="W348" s="65"/>
      <c r="X348" s="104"/>
      <c r="Y348" s="54"/>
      <c r="Z348" s="66"/>
    </row>
    <row r="349" spans="23:26" x14ac:dyDescent="0.25">
      <c r="W349" s="65"/>
      <c r="X349" s="104"/>
      <c r="Y349" s="54"/>
      <c r="Z349" s="66"/>
    </row>
    <row r="350" spans="23:26" x14ac:dyDescent="0.25">
      <c r="W350" s="65"/>
      <c r="X350" s="104"/>
      <c r="Y350" s="54"/>
      <c r="Z350" s="66"/>
    </row>
    <row r="351" spans="23:26" x14ac:dyDescent="0.25">
      <c r="W351" s="65"/>
      <c r="X351" s="104"/>
      <c r="Y351" s="54"/>
      <c r="Z351" s="66"/>
    </row>
    <row r="352" spans="23:26" x14ac:dyDescent="0.25">
      <c r="W352" s="65"/>
      <c r="X352" s="104"/>
      <c r="Y352" s="54"/>
      <c r="Z352" s="66"/>
    </row>
    <row r="353" spans="23:26" x14ac:dyDescent="0.25">
      <c r="W353" s="65"/>
      <c r="X353" s="104"/>
      <c r="Y353" s="54"/>
      <c r="Z353" s="66"/>
    </row>
    <row r="354" spans="23:26" x14ac:dyDescent="0.25">
      <c r="W354" s="65"/>
      <c r="X354" s="104"/>
      <c r="Y354" s="54"/>
      <c r="Z354" s="66"/>
    </row>
    <row r="355" spans="23:26" x14ac:dyDescent="0.25">
      <c r="W355" s="65"/>
      <c r="X355" s="104"/>
      <c r="Y355" s="54"/>
      <c r="Z355" s="66"/>
    </row>
    <row r="356" spans="23:26" x14ac:dyDescent="0.25">
      <c r="W356" s="65"/>
      <c r="X356" s="104"/>
      <c r="Y356" s="54"/>
      <c r="Z356" s="66"/>
    </row>
    <row r="357" spans="23:26" x14ac:dyDescent="0.25">
      <c r="W357" s="65"/>
      <c r="X357" s="104"/>
      <c r="Y357" s="54"/>
      <c r="Z357" s="66"/>
    </row>
    <row r="358" spans="23:26" x14ac:dyDescent="0.25">
      <c r="W358" s="65"/>
      <c r="X358" s="104"/>
      <c r="Y358" s="54"/>
      <c r="Z358" s="66"/>
    </row>
    <row r="359" spans="23:26" x14ac:dyDescent="0.25">
      <c r="W359" s="65"/>
      <c r="X359" s="104"/>
      <c r="Y359" s="54"/>
      <c r="Z359" s="66"/>
    </row>
    <row r="360" spans="23:26" x14ac:dyDescent="0.25">
      <c r="W360" s="65"/>
      <c r="X360" s="104"/>
      <c r="Y360" s="54"/>
      <c r="Z360" s="66"/>
    </row>
    <row r="361" spans="23:26" x14ac:dyDescent="0.25">
      <c r="W361" s="65"/>
      <c r="X361" s="104"/>
      <c r="Y361" s="54"/>
      <c r="Z361" s="66"/>
    </row>
    <row r="362" spans="23:26" x14ac:dyDescent="0.25">
      <c r="W362" s="65"/>
      <c r="X362" s="104"/>
      <c r="Y362" s="54"/>
      <c r="Z362" s="66"/>
    </row>
    <row r="363" spans="23:26" x14ac:dyDescent="0.25">
      <c r="W363" s="65"/>
      <c r="X363" s="104"/>
      <c r="Y363" s="54"/>
      <c r="Z363" s="66"/>
    </row>
    <row r="364" spans="23:26" x14ac:dyDescent="0.25">
      <c r="W364" s="65"/>
      <c r="X364" s="104"/>
      <c r="Y364" s="54"/>
      <c r="Z364" s="66"/>
    </row>
    <row r="365" spans="23:26" x14ac:dyDescent="0.25">
      <c r="W365" s="65"/>
      <c r="X365" s="104"/>
      <c r="Y365" s="54"/>
      <c r="Z365" s="66"/>
    </row>
    <row r="366" spans="23:26" x14ac:dyDescent="0.25">
      <c r="W366" s="65"/>
      <c r="X366" s="104"/>
      <c r="Y366" s="54"/>
      <c r="Z366" s="66"/>
    </row>
    <row r="367" spans="23:26" x14ac:dyDescent="0.25">
      <c r="W367" s="65"/>
      <c r="X367" s="104"/>
      <c r="Y367" s="54"/>
      <c r="Z367" s="66"/>
    </row>
    <row r="368" spans="23:26" x14ac:dyDescent="0.25">
      <c r="W368" s="65"/>
      <c r="X368" s="104"/>
      <c r="Y368" s="54"/>
      <c r="Z368" s="66"/>
    </row>
    <row r="369" spans="23:26" x14ac:dyDescent="0.25">
      <c r="W369" s="65"/>
      <c r="X369" s="104"/>
      <c r="Y369" s="54"/>
      <c r="Z369" s="66"/>
    </row>
    <row r="370" spans="23:26" x14ac:dyDescent="0.25">
      <c r="W370" s="65"/>
      <c r="X370" s="104"/>
      <c r="Y370" s="54"/>
      <c r="Z370" s="66"/>
    </row>
    <row r="371" spans="23:26" x14ac:dyDescent="0.25">
      <c r="W371" s="65"/>
      <c r="X371" s="104"/>
      <c r="Y371" s="54"/>
      <c r="Z371" s="66"/>
    </row>
    <row r="372" spans="23:26" x14ac:dyDescent="0.25">
      <c r="W372" s="65"/>
      <c r="X372" s="104"/>
      <c r="Y372" s="54"/>
      <c r="Z372" s="66"/>
    </row>
    <row r="373" spans="23:26" x14ac:dyDescent="0.25">
      <c r="W373" s="65"/>
      <c r="X373" s="104"/>
      <c r="Y373" s="54"/>
      <c r="Z373" s="66"/>
    </row>
    <row r="374" spans="23:26" x14ac:dyDescent="0.25">
      <c r="W374" s="65"/>
      <c r="X374" s="104"/>
      <c r="Y374" s="54"/>
      <c r="Z374" s="66"/>
    </row>
    <row r="375" spans="23:26" x14ac:dyDescent="0.25">
      <c r="W375" s="65"/>
      <c r="X375" s="104"/>
      <c r="Y375" s="54"/>
      <c r="Z375" s="66"/>
    </row>
    <row r="376" spans="23:26" x14ac:dyDescent="0.25">
      <c r="W376" s="65"/>
      <c r="X376" s="104"/>
      <c r="Y376" s="54"/>
      <c r="Z376" s="66"/>
    </row>
    <row r="377" spans="23:26" x14ac:dyDescent="0.25">
      <c r="W377" s="65"/>
      <c r="X377" s="104"/>
      <c r="Y377" s="54"/>
      <c r="Z377" s="66"/>
    </row>
    <row r="378" spans="23:26" x14ac:dyDescent="0.25">
      <c r="W378" s="65"/>
      <c r="X378" s="104"/>
      <c r="Y378" s="54"/>
      <c r="Z378" s="66"/>
    </row>
    <row r="379" spans="23:26" x14ac:dyDescent="0.25">
      <c r="W379" s="65"/>
      <c r="X379" s="104"/>
      <c r="Y379" s="54"/>
      <c r="Z379" s="66"/>
    </row>
    <row r="380" spans="23:26" x14ac:dyDescent="0.25">
      <c r="W380" s="65"/>
      <c r="X380" s="104"/>
      <c r="Y380" s="54"/>
      <c r="Z380" s="66"/>
    </row>
    <row r="381" spans="23:26" x14ac:dyDescent="0.25">
      <c r="W381" s="65"/>
      <c r="X381" s="104"/>
      <c r="Y381" s="54"/>
      <c r="Z381" s="66"/>
    </row>
    <row r="382" spans="23:26" x14ac:dyDescent="0.25">
      <c r="W382" s="65"/>
      <c r="X382" s="104"/>
      <c r="Y382" s="54"/>
      <c r="Z382" s="66"/>
    </row>
    <row r="383" spans="23:26" x14ac:dyDescent="0.25">
      <c r="W383" s="65"/>
      <c r="X383" s="104"/>
      <c r="Y383" s="54"/>
      <c r="Z383" s="66"/>
    </row>
    <row r="384" spans="23:26" x14ac:dyDescent="0.25">
      <c r="W384" s="65"/>
      <c r="X384" s="104"/>
      <c r="Y384" s="54"/>
      <c r="Z384" s="66"/>
    </row>
    <row r="385" spans="23:26" x14ac:dyDescent="0.25">
      <c r="W385" s="65"/>
      <c r="X385" s="104"/>
      <c r="Y385" s="54"/>
      <c r="Z385" s="66"/>
    </row>
    <row r="386" spans="23:26" x14ac:dyDescent="0.25">
      <c r="W386" s="65"/>
      <c r="X386" s="104"/>
      <c r="Y386" s="54"/>
      <c r="Z386" s="66"/>
    </row>
    <row r="387" spans="23:26" x14ac:dyDescent="0.25">
      <c r="W387" s="65"/>
      <c r="X387" s="104"/>
      <c r="Y387" s="54"/>
      <c r="Z387" s="66"/>
    </row>
    <row r="388" spans="23:26" x14ac:dyDescent="0.25">
      <c r="W388" s="65"/>
      <c r="X388" s="104"/>
      <c r="Y388" s="54"/>
      <c r="Z388" s="66"/>
    </row>
    <row r="389" spans="23:26" x14ac:dyDescent="0.25">
      <c r="W389" s="65"/>
      <c r="X389" s="104"/>
      <c r="Y389" s="54"/>
      <c r="Z389" s="66"/>
    </row>
    <row r="390" spans="23:26" x14ac:dyDescent="0.25">
      <c r="W390" s="65"/>
      <c r="X390" s="104"/>
      <c r="Y390" s="54"/>
      <c r="Z390" s="66"/>
    </row>
    <row r="391" spans="23:26" x14ac:dyDescent="0.25">
      <c r="W391" s="65"/>
      <c r="X391" s="104"/>
      <c r="Y391" s="54"/>
      <c r="Z391" s="66"/>
    </row>
    <row r="392" spans="23:26" x14ac:dyDescent="0.25">
      <c r="W392" s="65"/>
      <c r="X392" s="104"/>
      <c r="Y392" s="54"/>
      <c r="Z392" s="66"/>
    </row>
    <row r="393" spans="23:26" x14ac:dyDescent="0.25">
      <c r="W393" s="65"/>
      <c r="X393" s="104"/>
      <c r="Y393" s="54"/>
      <c r="Z393" s="66"/>
    </row>
    <row r="394" spans="23:26" x14ac:dyDescent="0.25">
      <c r="W394" s="65"/>
      <c r="X394" s="104"/>
      <c r="Y394" s="54"/>
      <c r="Z394" s="66"/>
    </row>
    <row r="395" spans="23:26" x14ac:dyDescent="0.25">
      <c r="W395" s="65"/>
      <c r="X395" s="104"/>
      <c r="Y395" s="54"/>
      <c r="Z395" s="66"/>
    </row>
    <row r="396" spans="23:26" x14ac:dyDescent="0.25">
      <c r="W396" s="65"/>
      <c r="X396" s="104"/>
      <c r="Y396" s="54"/>
      <c r="Z396" s="66"/>
    </row>
    <row r="397" spans="23:26" x14ac:dyDescent="0.25">
      <c r="W397" s="65"/>
      <c r="X397" s="104"/>
      <c r="Y397" s="54"/>
      <c r="Z397" s="66"/>
    </row>
    <row r="398" spans="23:26" x14ac:dyDescent="0.25">
      <c r="W398" s="65"/>
      <c r="X398" s="104"/>
      <c r="Y398" s="54"/>
      <c r="Z398" s="66"/>
    </row>
    <row r="399" spans="23:26" x14ac:dyDescent="0.25">
      <c r="W399" s="65"/>
      <c r="X399" s="104"/>
      <c r="Y399" s="54"/>
      <c r="Z399" s="66"/>
    </row>
    <row r="400" spans="23:26" x14ac:dyDescent="0.25">
      <c r="W400" s="65"/>
      <c r="X400" s="104"/>
      <c r="Y400" s="54"/>
      <c r="Z400" s="66"/>
    </row>
    <row r="401" spans="23:26" x14ac:dyDescent="0.25">
      <c r="W401" s="65"/>
      <c r="X401" s="104"/>
      <c r="Y401" s="54"/>
      <c r="Z401" s="66"/>
    </row>
    <row r="402" spans="23:26" x14ac:dyDescent="0.25">
      <c r="W402" s="65"/>
      <c r="X402" s="104"/>
      <c r="Y402" s="54"/>
      <c r="Z402" s="66"/>
    </row>
    <row r="403" spans="23:26" x14ac:dyDescent="0.25">
      <c r="W403" s="65"/>
      <c r="X403" s="104"/>
      <c r="Y403" s="54"/>
      <c r="Z403" s="66"/>
    </row>
    <row r="404" spans="23:26" x14ac:dyDescent="0.25">
      <c r="W404" s="65"/>
      <c r="X404" s="104"/>
      <c r="Y404" s="54"/>
      <c r="Z404" s="66"/>
    </row>
    <row r="405" spans="23:26" x14ac:dyDescent="0.25">
      <c r="W405" s="65"/>
      <c r="X405" s="104"/>
      <c r="Y405" s="54"/>
      <c r="Z405" s="66"/>
    </row>
    <row r="406" spans="23:26" x14ac:dyDescent="0.25">
      <c r="W406" s="65"/>
      <c r="X406" s="104"/>
      <c r="Y406" s="54"/>
      <c r="Z406" s="66"/>
    </row>
    <row r="407" spans="23:26" x14ac:dyDescent="0.25">
      <c r="W407" s="65"/>
      <c r="X407" s="104"/>
      <c r="Y407" s="54"/>
      <c r="Z407" s="66"/>
    </row>
    <row r="408" spans="23:26" x14ac:dyDescent="0.25">
      <c r="W408" s="65"/>
      <c r="X408" s="104"/>
      <c r="Y408" s="54"/>
      <c r="Z408" s="66"/>
    </row>
    <row r="409" spans="23:26" x14ac:dyDescent="0.25">
      <c r="W409" s="65"/>
      <c r="X409" s="104"/>
      <c r="Y409" s="54"/>
      <c r="Z409" s="66"/>
    </row>
    <row r="410" spans="23:26" x14ac:dyDescent="0.25">
      <c r="W410" s="65"/>
      <c r="X410" s="104"/>
      <c r="Y410" s="54"/>
      <c r="Z410" s="66"/>
    </row>
    <row r="411" spans="23:26" x14ac:dyDescent="0.25">
      <c r="W411" s="65"/>
      <c r="X411" s="104"/>
      <c r="Y411" s="54"/>
      <c r="Z411" s="66"/>
    </row>
    <row r="412" spans="23:26" x14ac:dyDescent="0.25">
      <c r="W412" s="65"/>
      <c r="X412" s="104"/>
      <c r="Y412" s="54"/>
      <c r="Z412" s="66"/>
    </row>
    <row r="413" spans="23:26" x14ac:dyDescent="0.25">
      <c r="W413" s="65"/>
      <c r="X413" s="104"/>
      <c r="Y413" s="54"/>
      <c r="Z413" s="66"/>
    </row>
    <row r="414" spans="23:26" x14ac:dyDescent="0.25">
      <c r="W414" s="65"/>
      <c r="X414" s="104"/>
      <c r="Y414" s="54"/>
      <c r="Z414" s="66"/>
    </row>
    <row r="415" spans="23:26" x14ac:dyDescent="0.25">
      <c r="W415" s="65"/>
      <c r="X415" s="104"/>
      <c r="Y415" s="54"/>
      <c r="Z415" s="66"/>
    </row>
    <row r="416" spans="23:26" x14ac:dyDescent="0.25">
      <c r="W416" s="65"/>
      <c r="X416" s="104"/>
      <c r="Y416" s="54"/>
      <c r="Z416" s="66"/>
    </row>
    <row r="417" spans="23:26" x14ac:dyDescent="0.25">
      <c r="W417" s="65"/>
      <c r="X417" s="104"/>
      <c r="Y417" s="54"/>
      <c r="Z417" s="66"/>
    </row>
    <row r="418" spans="23:26" x14ac:dyDescent="0.25">
      <c r="W418" s="65"/>
      <c r="X418" s="104"/>
      <c r="Y418" s="54"/>
      <c r="Z418" s="66"/>
    </row>
    <row r="419" spans="23:26" x14ac:dyDescent="0.25">
      <c r="W419" s="65"/>
      <c r="X419" s="104"/>
      <c r="Y419" s="54"/>
      <c r="Z419" s="66"/>
    </row>
    <row r="420" spans="23:26" x14ac:dyDescent="0.25">
      <c r="W420" s="65"/>
      <c r="X420" s="104"/>
      <c r="Y420" s="54"/>
      <c r="Z420" s="66"/>
    </row>
    <row r="421" spans="23:26" x14ac:dyDescent="0.25">
      <c r="W421" s="65"/>
      <c r="X421" s="104"/>
      <c r="Y421" s="54"/>
      <c r="Z421" s="66"/>
    </row>
    <row r="422" spans="23:26" x14ac:dyDescent="0.25">
      <c r="W422" s="65"/>
      <c r="X422" s="104"/>
      <c r="Y422" s="54"/>
      <c r="Z422" s="66"/>
    </row>
    <row r="423" spans="23:26" x14ac:dyDescent="0.25">
      <c r="W423" s="65"/>
      <c r="X423" s="104"/>
      <c r="Y423" s="54"/>
      <c r="Z423" s="66"/>
    </row>
    <row r="424" spans="23:26" x14ac:dyDescent="0.25">
      <c r="W424" s="65"/>
      <c r="X424" s="104"/>
      <c r="Y424" s="54"/>
      <c r="Z424" s="66"/>
    </row>
    <row r="425" spans="23:26" x14ac:dyDescent="0.25">
      <c r="W425" s="65"/>
      <c r="X425" s="104"/>
      <c r="Y425" s="54"/>
      <c r="Z425" s="66"/>
    </row>
    <row r="426" spans="23:26" x14ac:dyDescent="0.25">
      <c r="W426" s="65"/>
      <c r="X426" s="104"/>
      <c r="Y426" s="54"/>
      <c r="Z426" s="66"/>
    </row>
    <row r="427" spans="23:26" x14ac:dyDescent="0.25">
      <c r="W427" s="65"/>
      <c r="X427" s="104"/>
      <c r="Y427" s="54"/>
      <c r="Z427" s="66"/>
    </row>
    <row r="428" spans="23:26" x14ac:dyDescent="0.25">
      <c r="W428" s="65"/>
      <c r="X428" s="104"/>
      <c r="Y428" s="54"/>
      <c r="Z428" s="66"/>
    </row>
    <row r="429" spans="23:26" x14ac:dyDescent="0.25">
      <c r="W429" s="65"/>
      <c r="X429" s="104"/>
      <c r="Y429" s="54"/>
      <c r="Z429" s="66"/>
    </row>
    <row r="430" spans="23:26" x14ac:dyDescent="0.25">
      <c r="W430" s="65"/>
      <c r="X430" s="104"/>
      <c r="Y430" s="54"/>
      <c r="Z430" s="66"/>
    </row>
    <row r="431" spans="23:26" x14ac:dyDescent="0.25">
      <c r="W431" s="65"/>
      <c r="X431" s="104"/>
      <c r="Y431" s="54"/>
      <c r="Z431" s="66"/>
    </row>
    <row r="432" spans="23:26" x14ac:dyDescent="0.25">
      <c r="W432" s="65"/>
      <c r="X432" s="104"/>
      <c r="Y432" s="54"/>
      <c r="Z432" s="66"/>
    </row>
    <row r="433" spans="23:26" x14ac:dyDescent="0.25">
      <c r="W433" s="65"/>
      <c r="X433" s="104"/>
      <c r="Y433" s="54"/>
      <c r="Z433" s="66"/>
    </row>
    <row r="434" spans="23:26" x14ac:dyDescent="0.25">
      <c r="W434" s="65"/>
      <c r="X434" s="104"/>
      <c r="Y434" s="54"/>
      <c r="Z434" s="66"/>
    </row>
    <row r="435" spans="23:26" x14ac:dyDescent="0.25">
      <c r="W435" s="65"/>
      <c r="X435" s="104"/>
      <c r="Y435" s="54"/>
      <c r="Z435" s="66"/>
    </row>
    <row r="436" spans="23:26" x14ac:dyDescent="0.25">
      <c r="W436" s="65"/>
      <c r="X436" s="104"/>
      <c r="Y436" s="54"/>
      <c r="Z436" s="66"/>
    </row>
    <row r="437" spans="23:26" x14ac:dyDescent="0.25">
      <c r="W437" s="65"/>
      <c r="X437" s="104"/>
      <c r="Y437" s="54"/>
      <c r="Z437" s="66"/>
    </row>
    <row r="438" spans="23:26" x14ac:dyDescent="0.25">
      <c r="W438" s="65"/>
      <c r="X438" s="104"/>
      <c r="Y438" s="54"/>
      <c r="Z438" s="66"/>
    </row>
    <row r="439" spans="23:26" x14ac:dyDescent="0.25">
      <c r="W439" s="65"/>
      <c r="X439" s="104"/>
      <c r="Y439" s="54"/>
      <c r="Z439" s="66"/>
    </row>
    <row r="440" spans="23:26" x14ac:dyDescent="0.25">
      <c r="W440" s="65"/>
      <c r="X440" s="104"/>
      <c r="Y440" s="54"/>
      <c r="Z440" s="66"/>
    </row>
    <row r="441" spans="23:26" x14ac:dyDescent="0.25">
      <c r="W441" s="65"/>
      <c r="X441" s="104"/>
      <c r="Y441" s="54"/>
      <c r="Z441" s="66"/>
    </row>
    <row r="442" spans="23:26" x14ac:dyDescent="0.25">
      <c r="W442" s="65"/>
      <c r="X442" s="104"/>
      <c r="Y442" s="54"/>
      <c r="Z442" s="66"/>
    </row>
    <row r="443" spans="23:26" x14ac:dyDescent="0.25">
      <c r="W443" s="65"/>
      <c r="X443" s="104"/>
      <c r="Y443" s="54"/>
      <c r="Z443" s="66"/>
    </row>
    <row r="444" spans="23:26" x14ac:dyDescent="0.25">
      <c r="W444" s="65"/>
      <c r="X444" s="104"/>
      <c r="Y444" s="54"/>
      <c r="Z444" s="66"/>
    </row>
    <row r="445" spans="23:26" x14ac:dyDescent="0.25">
      <c r="W445" s="65"/>
      <c r="X445" s="104"/>
      <c r="Y445" s="54"/>
      <c r="Z445" s="66"/>
    </row>
    <row r="446" spans="23:26" x14ac:dyDescent="0.25">
      <c r="W446" s="65"/>
      <c r="X446" s="104"/>
      <c r="Y446" s="54"/>
      <c r="Z446" s="66"/>
    </row>
    <row r="447" spans="23:26" x14ac:dyDescent="0.25">
      <c r="W447" s="65"/>
      <c r="X447" s="104"/>
      <c r="Y447" s="54"/>
      <c r="Z447" s="66"/>
    </row>
    <row r="448" spans="23:26" x14ac:dyDescent="0.25">
      <c r="W448" s="65"/>
      <c r="X448" s="104"/>
      <c r="Y448" s="54"/>
      <c r="Z448" s="66"/>
    </row>
    <row r="449" spans="23:26" x14ac:dyDescent="0.25">
      <c r="W449" s="65"/>
      <c r="X449" s="104"/>
      <c r="Y449" s="54"/>
      <c r="Z449" s="66"/>
    </row>
    <row r="450" spans="23:26" x14ac:dyDescent="0.25">
      <c r="W450" s="65"/>
      <c r="X450" s="104"/>
      <c r="Y450" s="54"/>
      <c r="Z450" s="66"/>
    </row>
    <row r="451" spans="23:26" x14ac:dyDescent="0.25">
      <c r="W451" s="65"/>
      <c r="X451" s="104"/>
      <c r="Y451" s="54"/>
      <c r="Z451" s="66"/>
    </row>
    <row r="452" spans="23:26" x14ac:dyDescent="0.25">
      <c r="W452" s="65"/>
      <c r="X452" s="104"/>
      <c r="Y452" s="54"/>
      <c r="Z452" s="66"/>
    </row>
    <row r="453" spans="23:26" x14ac:dyDescent="0.25">
      <c r="W453" s="65"/>
      <c r="X453" s="104"/>
      <c r="Y453" s="54"/>
      <c r="Z453" s="66"/>
    </row>
    <row r="454" spans="23:26" x14ac:dyDescent="0.25">
      <c r="W454" s="65"/>
      <c r="X454" s="104"/>
      <c r="Y454" s="54"/>
      <c r="Z454" s="66"/>
    </row>
    <row r="455" spans="23:26" x14ac:dyDescent="0.25">
      <c r="W455" s="65"/>
      <c r="X455" s="104"/>
      <c r="Y455" s="54"/>
      <c r="Z455" s="66"/>
    </row>
    <row r="456" spans="23:26" x14ac:dyDescent="0.25">
      <c r="W456" s="65"/>
      <c r="X456" s="104"/>
      <c r="Y456" s="54"/>
      <c r="Z456" s="66"/>
    </row>
    <row r="457" spans="23:26" x14ac:dyDescent="0.25">
      <c r="W457" s="65"/>
      <c r="X457" s="104"/>
      <c r="Y457" s="54"/>
      <c r="Z457" s="66"/>
    </row>
    <row r="458" spans="23:26" x14ac:dyDescent="0.25">
      <c r="W458" s="65"/>
      <c r="X458" s="104"/>
      <c r="Y458" s="54"/>
      <c r="Z458" s="66"/>
    </row>
    <row r="459" spans="23:26" x14ac:dyDescent="0.25">
      <c r="W459" s="65"/>
      <c r="X459" s="104"/>
      <c r="Y459" s="54"/>
      <c r="Z459" s="66"/>
    </row>
    <row r="460" spans="23:26" x14ac:dyDescent="0.25">
      <c r="W460" s="65"/>
      <c r="X460" s="104"/>
      <c r="Y460" s="54"/>
      <c r="Z460" s="66"/>
    </row>
    <row r="461" spans="23:26" x14ac:dyDescent="0.25">
      <c r="W461" s="65"/>
      <c r="X461" s="104"/>
      <c r="Y461" s="54"/>
      <c r="Z461" s="66"/>
    </row>
    <row r="462" spans="23:26" x14ac:dyDescent="0.25">
      <c r="W462" s="65"/>
      <c r="X462" s="104"/>
      <c r="Y462" s="54"/>
      <c r="Z462" s="66"/>
    </row>
    <row r="463" spans="23:26" x14ac:dyDescent="0.25">
      <c r="W463" s="65"/>
      <c r="X463" s="104"/>
      <c r="Y463" s="54"/>
      <c r="Z463" s="66"/>
    </row>
    <row r="464" spans="23:26" x14ac:dyDescent="0.25">
      <c r="W464" s="65"/>
      <c r="X464" s="104"/>
      <c r="Y464" s="54"/>
      <c r="Z464" s="66"/>
    </row>
    <row r="465" spans="23:26" x14ac:dyDescent="0.25">
      <c r="W465" s="65"/>
      <c r="X465" s="104"/>
      <c r="Y465" s="54"/>
      <c r="Z465" s="66"/>
    </row>
    <row r="466" spans="23:26" x14ac:dyDescent="0.25">
      <c r="W466" s="65"/>
      <c r="X466" s="104"/>
      <c r="Y466" s="54"/>
      <c r="Z466" s="66"/>
    </row>
    <row r="467" spans="23:26" x14ac:dyDescent="0.25">
      <c r="W467" s="65"/>
      <c r="X467" s="104"/>
      <c r="Y467" s="54"/>
      <c r="Z467" s="66"/>
    </row>
    <row r="468" spans="23:26" x14ac:dyDescent="0.25">
      <c r="W468" s="65"/>
      <c r="X468" s="104"/>
      <c r="Y468" s="54"/>
      <c r="Z468" s="66"/>
    </row>
    <row r="469" spans="23:26" x14ac:dyDescent="0.25">
      <c r="W469" s="65"/>
      <c r="X469" s="104"/>
      <c r="Y469" s="54"/>
      <c r="Z469" s="66"/>
    </row>
    <row r="470" spans="23:26" x14ac:dyDescent="0.25">
      <c r="W470" s="65"/>
      <c r="X470" s="104"/>
      <c r="Y470" s="54"/>
      <c r="Z470" s="66"/>
    </row>
    <row r="471" spans="23:26" x14ac:dyDescent="0.25">
      <c r="W471" s="65"/>
      <c r="X471" s="104"/>
      <c r="Y471" s="54"/>
      <c r="Z471" s="66"/>
    </row>
    <row r="472" spans="23:26" x14ac:dyDescent="0.25">
      <c r="W472" s="65"/>
      <c r="X472" s="104"/>
      <c r="Y472" s="54"/>
      <c r="Z472" s="66"/>
    </row>
    <row r="473" spans="23:26" x14ac:dyDescent="0.25">
      <c r="W473" s="65"/>
      <c r="X473" s="104"/>
      <c r="Y473" s="54"/>
      <c r="Z473" s="66"/>
    </row>
    <row r="474" spans="23:26" x14ac:dyDescent="0.25">
      <c r="W474" s="65"/>
      <c r="X474" s="104"/>
      <c r="Y474" s="54"/>
      <c r="Z474" s="66"/>
    </row>
    <row r="475" spans="23:26" x14ac:dyDescent="0.25">
      <c r="W475" s="65"/>
      <c r="X475" s="104"/>
      <c r="Y475" s="54"/>
      <c r="Z475" s="66"/>
    </row>
    <row r="476" spans="23:26" x14ac:dyDescent="0.25">
      <c r="W476" s="65"/>
      <c r="X476" s="104"/>
      <c r="Y476" s="54"/>
      <c r="Z476" s="66"/>
    </row>
    <row r="477" spans="23:26" x14ac:dyDescent="0.25">
      <c r="W477" s="65"/>
      <c r="X477" s="104"/>
      <c r="Y477" s="54"/>
      <c r="Z477" s="66"/>
    </row>
    <row r="478" spans="23:26" x14ac:dyDescent="0.25">
      <c r="W478" s="65"/>
      <c r="X478" s="104"/>
      <c r="Y478" s="54"/>
      <c r="Z478" s="66"/>
    </row>
    <row r="479" spans="23:26" x14ac:dyDescent="0.25">
      <c r="W479" s="65"/>
      <c r="X479" s="104"/>
      <c r="Y479" s="54"/>
      <c r="Z479" s="66"/>
    </row>
    <row r="480" spans="23:26" x14ac:dyDescent="0.25">
      <c r="W480" s="65"/>
      <c r="X480" s="104"/>
      <c r="Y480" s="54"/>
      <c r="Z480" s="66"/>
    </row>
    <row r="481" spans="23:26" x14ac:dyDescent="0.25">
      <c r="W481" s="65"/>
      <c r="X481" s="104"/>
      <c r="Y481" s="54"/>
      <c r="Z481" s="66"/>
    </row>
    <row r="482" spans="23:26" x14ac:dyDescent="0.25">
      <c r="W482" s="65"/>
      <c r="X482" s="104"/>
      <c r="Y482" s="54"/>
      <c r="Z482" s="66"/>
    </row>
    <row r="483" spans="23:26" x14ac:dyDescent="0.25">
      <c r="W483" s="65"/>
      <c r="X483" s="104"/>
      <c r="Y483" s="54"/>
      <c r="Z483" s="66"/>
    </row>
    <row r="484" spans="23:26" x14ac:dyDescent="0.25">
      <c r="W484" s="65"/>
      <c r="X484" s="104"/>
      <c r="Y484" s="54"/>
      <c r="Z484" s="66"/>
    </row>
    <row r="485" spans="23:26" x14ac:dyDescent="0.25">
      <c r="W485" s="65"/>
      <c r="X485" s="104"/>
      <c r="Y485" s="54"/>
      <c r="Z485" s="66"/>
    </row>
    <row r="486" spans="23:26" x14ac:dyDescent="0.25">
      <c r="W486" s="65"/>
      <c r="X486" s="104"/>
      <c r="Y486" s="54"/>
      <c r="Z486" s="66"/>
    </row>
    <row r="487" spans="23:26" x14ac:dyDescent="0.25">
      <c r="W487" s="65"/>
      <c r="X487" s="104"/>
      <c r="Y487" s="54"/>
      <c r="Z487" s="66"/>
    </row>
    <row r="488" spans="23:26" x14ac:dyDescent="0.25">
      <c r="W488" s="65"/>
      <c r="X488" s="104"/>
      <c r="Y488" s="54"/>
      <c r="Z488" s="66"/>
    </row>
    <row r="489" spans="23:26" x14ac:dyDescent="0.25">
      <c r="W489" s="65"/>
      <c r="X489" s="104"/>
      <c r="Y489" s="54"/>
      <c r="Z489" s="66"/>
    </row>
    <row r="490" spans="23:26" x14ac:dyDescent="0.25">
      <c r="W490" s="65"/>
      <c r="X490" s="104"/>
      <c r="Y490" s="54"/>
      <c r="Z490" s="66"/>
    </row>
    <row r="491" spans="23:26" x14ac:dyDescent="0.25">
      <c r="W491" s="65"/>
      <c r="X491" s="104"/>
      <c r="Y491" s="54"/>
      <c r="Z491" s="66"/>
    </row>
    <row r="492" spans="23:26" x14ac:dyDescent="0.25">
      <c r="W492" s="65"/>
      <c r="X492" s="104"/>
      <c r="Y492" s="54"/>
      <c r="Z492" s="66"/>
    </row>
    <row r="493" spans="23:26" x14ac:dyDescent="0.25">
      <c r="W493" s="65"/>
      <c r="X493" s="104"/>
      <c r="Y493" s="54"/>
      <c r="Z493" s="66"/>
    </row>
    <row r="494" spans="23:26" x14ac:dyDescent="0.25">
      <c r="W494" s="65"/>
      <c r="X494" s="104"/>
      <c r="Y494" s="54"/>
      <c r="Z494" s="66"/>
    </row>
    <row r="495" spans="23:26" x14ac:dyDescent="0.25">
      <c r="W495" s="65"/>
      <c r="X495" s="104"/>
      <c r="Y495" s="54"/>
      <c r="Z495" s="66"/>
    </row>
    <row r="496" spans="23:26" x14ac:dyDescent="0.25">
      <c r="W496" s="65"/>
      <c r="X496" s="104"/>
      <c r="Y496" s="54"/>
      <c r="Z496" s="66"/>
    </row>
    <row r="497" spans="23:26" x14ac:dyDescent="0.25">
      <c r="W497" s="65"/>
      <c r="X497" s="104"/>
      <c r="Y497" s="54"/>
      <c r="Z497" s="66"/>
    </row>
    <row r="498" spans="23:26" x14ac:dyDescent="0.25">
      <c r="W498" s="65"/>
      <c r="X498" s="104"/>
      <c r="Y498" s="54"/>
      <c r="Z498" s="66"/>
    </row>
    <row r="499" spans="23:26" x14ac:dyDescent="0.25">
      <c r="W499" s="65"/>
      <c r="X499" s="104"/>
      <c r="Y499" s="54"/>
      <c r="Z499" s="66"/>
    </row>
    <row r="500" spans="23:26" x14ac:dyDescent="0.25">
      <c r="W500" s="65"/>
      <c r="X500" s="104"/>
      <c r="Y500" s="54"/>
      <c r="Z500" s="66"/>
    </row>
    <row r="501" spans="23:26" x14ac:dyDescent="0.25">
      <c r="W501" s="65"/>
      <c r="X501" s="104"/>
      <c r="Y501" s="54"/>
      <c r="Z501" s="66"/>
    </row>
    <row r="502" spans="23:26" x14ac:dyDescent="0.25">
      <c r="W502" s="65"/>
      <c r="X502" s="104"/>
      <c r="Y502" s="54"/>
      <c r="Z502" s="66"/>
    </row>
    <row r="503" spans="23:26" x14ac:dyDescent="0.25">
      <c r="W503" s="65"/>
      <c r="X503" s="104"/>
      <c r="Y503" s="54"/>
      <c r="Z503" s="66"/>
    </row>
    <row r="504" spans="23:26" x14ac:dyDescent="0.25">
      <c r="W504" s="65"/>
      <c r="X504" s="104"/>
      <c r="Y504" s="54"/>
      <c r="Z504" s="66"/>
    </row>
    <row r="505" spans="23:26" x14ac:dyDescent="0.25">
      <c r="W505" s="65"/>
      <c r="X505" s="104"/>
      <c r="Y505" s="54"/>
      <c r="Z505" s="66"/>
    </row>
    <row r="506" spans="23:26" x14ac:dyDescent="0.25">
      <c r="W506" s="65"/>
      <c r="X506" s="104"/>
      <c r="Y506" s="54"/>
      <c r="Z506" s="66"/>
    </row>
    <row r="507" spans="23:26" x14ac:dyDescent="0.25">
      <c r="W507" s="65"/>
      <c r="X507" s="104"/>
      <c r="Y507" s="54"/>
      <c r="Z507" s="66"/>
    </row>
    <row r="508" spans="23:26" x14ac:dyDescent="0.25">
      <c r="W508" s="65"/>
      <c r="X508" s="104"/>
      <c r="Y508" s="54"/>
      <c r="Z508" s="66"/>
    </row>
    <row r="509" spans="23:26" x14ac:dyDescent="0.25">
      <c r="W509" s="65"/>
      <c r="X509" s="104"/>
      <c r="Y509" s="54"/>
      <c r="Z509" s="66"/>
    </row>
    <row r="510" spans="23:26" x14ac:dyDescent="0.25">
      <c r="W510" s="65"/>
      <c r="X510" s="104"/>
      <c r="Y510" s="54"/>
      <c r="Z510" s="66"/>
    </row>
    <row r="511" spans="23:26" x14ac:dyDescent="0.25">
      <c r="W511" s="65"/>
      <c r="X511" s="104"/>
      <c r="Y511" s="54"/>
      <c r="Z511" s="66"/>
    </row>
    <row r="512" spans="23:26" x14ac:dyDescent="0.25">
      <c r="W512" s="65"/>
      <c r="X512" s="104"/>
      <c r="Y512" s="54"/>
      <c r="Z512" s="66"/>
    </row>
    <row r="513" spans="23:26" x14ac:dyDescent="0.25">
      <c r="W513" s="65"/>
      <c r="X513" s="104"/>
      <c r="Y513" s="54"/>
      <c r="Z513" s="66"/>
    </row>
    <row r="514" spans="23:26" x14ac:dyDescent="0.25">
      <c r="W514" s="65"/>
      <c r="X514" s="104"/>
      <c r="Y514" s="54"/>
      <c r="Z514" s="66"/>
    </row>
    <row r="515" spans="23:26" x14ac:dyDescent="0.25">
      <c r="W515" s="65"/>
      <c r="X515" s="104"/>
      <c r="Y515" s="54"/>
      <c r="Z515" s="66"/>
    </row>
    <row r="516" spans="23:26" x14ac:dyDescent="0.25">
      <c r="W516" s="65"/>
      <c r="X516" s="104"/>
      <c r="Y516" s="54"/>
      <c r="Z516" s="66"/>
    </row>
    <row r="517" spans="23:26" x14ac:dyDescent="0.25">
      <c r="W517" s="65"/>
      <c r="X517" s="104"/>
      <c r="Y517" s="54"/>
      <c r="Z517" s="66"/>
    </row>
    <row r="518" spans="23:26" x14ac:dyDescent="0.25">
      <c r="W518" s="65"/>
      <c r="X518" s="104"/>
      <c r="Y518" s="54"/>
      <c r="Z518" s="66"/>
    </row>
    <row r="519" spans="23:26" x14ac:dyDescent="0.25">
      <c r="W519" s="65"/>
      <c r="X519" s="104"/>
      <c r="Y519" s="54"/>
      <c r="Z519" s="66"/>
    </row>
    <row r="520" spans="23:26" x14ac:dyDescent="0.25">
      <c r="W520" s="65"/>
      <c r="X520" s="104"/>
      <c r="Y520" s="54"/>
      <c r="Z520" s="66"/>
    </row>
    <row r="521" spans="23:26" x14ac:dyDescent="0.25">
      <c r="W521" s="65"/>
      <c r="X521" s="104"/>
      <c r="Y521" s="54"/>
      <c r="Z521" s="66"/>
    </row>
    <row r="522" spans="23:26" x14ac:dyDescent="0.25">
      <c r="W522" s="65"/>
      <c r="X522" s="104"/>
      <c r="Y522" s="54"/>
      <c r="Z522" s="66"/>
    </row>
    <row r="523" spans="23:26" x14ac:dyDescent="0.25">
      <c r="W523" s="65"/>
      <c r="X523" s="104"/>
      <c r="Y523" s="54"/>
      <c r="Z523" s="66"/>
    </row>
    <row r="524" spans="23:26" x14ac:dyDescent="0.25">
      <c r="W524" s="65"/>
      <c r="X524" s="104"/>
      <c r="Y524" s="54"/>
      <c r="Z524" s="66"/>
    </row>
    <row r="525" spans="23:26" x14ac:dyDescent="0.25">
      <c r="W525" s="65"/>
      <c r="X525" s="104"/>
      <c r="Y525" s="54"/>
      <c r="Z525" s="66"/>
    </row>
    <row r="526" spans="23:26" x14ac:dyDescent="0.25">
      <c r="W526" s="65"/>
      <c r="X526" s="104"/>
      <c r="Y526" s="54"/>
      <c r="Z526" s="66"/>
    </row>
    <row r="527" spans="23:26" x14ac:dyDescent="0.25">
      <c r="W527" s="65"/>
      <c r="X527" s="104"/>
      <c r="Y527" s="54"/>
      <c r="Z527" s="66"/>
    </row>
    <row r="528" spans="23:26" x14ac:dyDescent="0.25">
      <c r="W528" s="65"/>
      <c r="X528" s="104"/>
      <c r="Y528" s="54"/>
      <c r="Z528" s="66"/>
    </row>
    <row r="529" spans="23:26" x14ac:dyDescent="0.25">
      <c r="W529" s="65"/>
      <c r="X529" s="104"/>
      <c r="Y529" s="54"/>
      <c r="Z529" s="66"/>
    </row>
    <row r="530" spans="23:26" x14ac:dyDescent="0.25">
      <c r="W530" s="65"/>
      <c r="X530" s="104"/>
      <c r="Y530" s="54"/>
      <c r="Z530" s="66"/>
    </row>
    <row r="531" spans="23:26" x14ac:dyDescent="0.25">
      <c r="W531" s="65"/>
      <c r="X531" s="104"/>
      <c r="Y531" s="54"/>
      <c r="Z531" s="66"/>
    </row>
    <row r="532" spans="23:26" x14ac:dyDescent="0.25">
      <c r="W532" s="65"/>
      <c r="X532" s="104"/>
      <c r="Y532" s="54"/>
      <c r="Z532" s="66"/>
    </row>
    <row r="533" spans="23:26" x14ac:dyDescent="0.25">
      <c r="W533" s="65"/>
      <c r="X533" s="104"/>
      <c r="Y533" s="54"/>
      <c r="Z533" s="66"/>
    </row>
    <row r="534" spans="23:26" x14ac:dyDescent="0.25">
      <c r="W534" s="65"/>
      <c r="X534" s="104"/>
      <c r="Y534" s="54"/>
      <c r="Z534" s="66"/>
    </row>
    <row r="535" spans="23:26" x14ac:dyDescent="0.25">
      <c r="W535" s="65"/>
      <c r="X535" s="104"/>
      <c r="Y535" s="54"/>
      <c r="Z535" s="66"/>
    </row>
    <row r="536" spans="23:26" x14ac:dyDescent="0.25">
      <c r="W536" s="65"/>
      <c r="X536" s="104"/>
      <c r="Y536" s="54"/>
      <c r="Z536" s="66"/>
    </row>
    <row r="537" spans="23:26" x14ac:dyDescent="0.25">
      <c r="W537" s="65"/>
      <c r="X537" s="104"/>
      <c r="Y537" s="54"/>
      <c r="Z537" s="66"/>
    </row>
    <row r="538" spans="23:26" x14ac:dyDescent="0.25">
      <c r="W538" s="65"/>
      <c r="X538" s="104"/>
      <c r="Y538" s="54"/>
      <c r="Z538" s="66"/>
    </row>
    <row r="539" spans="23:26" x14ac:dyDescent="0.25">
      <c r="W539" s="65"/>
      <c r="X539" s="104"/>
      <c r="Y539" s="54"/>
      <c r="Z539" s="66"/>
    </row>
    <row r="540" spans="23:26" x14ac:dyDescent="0.25">
      <c r="W540" s="65"/>
      <c r="X540" s="104"/>
      <c r="Y540" s="54"/>
      <c r="Z540" s="66"/>
    </row>
    <row r="541" spans="23:26" x14ac:dyDescent="0.25">
      <c r="W541" s="65"/>
      <c r="X541" s="104"/>
      <c r="Y541" s="54"/>
      <c r="Z541" s="66"/>
    </row>
    <row r="542" spans="23:26" x14ac:dyDescent="0.25">
      <c r="W542" s="65"/>
      <c r="X542" s="104"/>
      <c r="Y542" s="54"/>
      <c r="Z542" s="66"/>
    </row>
    <row r="543" spans="23:26" x14ac:dyDescent="0.25">
      <c r="W543" s="65"/>
      <c r="X543" s="104"/>
      <c r="Y543" s="54"/>
      <c r="Z543" s="66"/>
    </row>
    <row r="544" spans="23:26" x14ac:dyDescent="0.25">
      <c r="W544" s="65"/>
      <c r="X544" s="104"/>
      <c r="Y544" s="54"/>
      <c r="Z544" s="66"/>
    </row>
    <row r="545" spans="23:26" x14ac:dyDescent="0.25">
      <c r="W545" s="65"/>
      <c r="X545" s="104"/>
      <c r="Y545" s="54"/>
      <c r="Z545" s="66"/>
    </row>
    <row r="546" spans="23:26" x14ac:dyDescent="0.25">
      <c r="W546" s="65"/>
      <c r="X546" s="104"/>
      <c r="Y546" s="54"/>
      <c r="Z546" s="66"/>
    </row>
    <row r="547" spans="23:26" x14ac:dyDescent="0.25">
      <c r="W547" s="65"/>
      <c r="X547" s="104"/>
      <c r="Y547" s="54"/>
      <c r="Z547" s="66"/>
    </row>
    <row r="548" spans="23:26" x14ac:dyDescent="0.25">
      <c r="W548" s="65"/>
      <c r="X548" s="104"/>
      <c r="Y548" s="54"/>
      <c r="Z548" s="66"/>
    </row>
    <row r="549" spans="23:26" x14ac:dyDescent="0.25">
      <c r="W549" s="65"/>
      <c r="X549" s="104"/>
      <c r="Y549" s="54"/>
      <c r="Z549" s="66"/>
    </row>
    <row r="550" spans="23:26" x14ac:dyDescent="0.25">
      <c r="W550" s="65"/>
      <c r="X550" s="104"/>
      <c r="Y550" s="54"/>
      <c r="Z550" s="66"/>
    </row>
    <row r="551" spans="23:26" x14ac:dyDescent="0.25">
      <c r="W551" s="65"/>
      <c r="X551" s="104"/>
      <c r="Y551" s="54"/>
      <c r="Z551" s="66"/>
    </row>
    <row r="552" spans="23:26" x14ac:dyDescent="0.25">
      <c r="W552" s="65"/>
      <c r="X552" s="104"/>
      <c r="Y552" s="54"/>
      <c r="Z552" s="66"/>
    </row>
    <row r="553" spans="23:26" x14ac:dyDescent="0.25">
      <c r="W553" s="65"/>
      <c r="X553" s="104"/>
      <c r="Y553" s="54"/>
      <c r="Z553" s="66"/>
    </row>
    <row r="554" spans="23:26" x14ac:dyDescent="0.25">
      <c r="W554" s="65"/>
      <c r="X554" s="104"/>
      <c r="Y554" s="54"/>
      <c r="Z554" s="66"/>
    </row>
    <row r="555" spans="23:26" x14ac:dyDescent="0.25">
      <c r="W555" s="65"/>
      <c r="X555" s="104"/>
      <c r="Y555" s="54"/>
      <c r="Z555" s="66"/>
    </row>
    <row r="556" spans="23:26" x14ac:dyDescent="0.25">
      <c r="W556" s="65"/>
      <c r="X556" s="104"/>
      <c r="Y556" s="54"/>
      <c r="Z556" s="66"/>
    </row>
    <row r="557" spans="23:26" x14ac:dyDescent="0.25">
      <c r="W557" s="65"/>
      <c r="X557" s="104"/>
      <c r="Y557" s="54"/>
      <c r="Z557" s="66"/>
    </row>
    <row r="558" spans="23:26" x14ac:dyDescent="0.25">
      <c r="W558" s="65"/>
      <c r="X558" s="104"/>
      <c r="Y558" s="54"/>
      <c r="Z558" s="66"/>
    </row>
    <row r="559" spans="23:26" x14ac:dyDescent="0.25">
      <c r="W559" s="65"/>
      <c r="X559" s="104"/>
      <c r="Y559" s="54"/>
      <c r="Z559" s="66"/>
    </row>
    <row r="560" spans="23:26" x14ac:dyDescent="0.25">
      <c r="W560" s="65"/>
      <c r="X560" s="104"/>
      <c r="Y560" s="54"/>
      <c r="Z560" s="66"/>
    </row>
    <row r="561" spans="23:26" x14ac:dyDescent="0.25">
      <c r="W561" s="65"/>
      <c r="X561" s="104"/>
      <c r="Y561" s="54"/>
      <c r="Z561" s="66"/>
    </row>
    <row r="562" spans="23:26" x14ac:dyDescent="0.25">
      <c r="W562" s="65"/>
      <c r="X562" s="104"/>
      <c r="Y562" s="54"/>
      <c r="Z562" s="66"/>
    </row>
    <row r="563" spans="23:26" x14ac:dyDescent="0.25">
      <c r="W563" s="65"/>
      <c r="X563" s="104"/>
      <c r="Y563" s="54"/>
      <c r="Z563" s="66"/>
    </row>
    <row r="564" spans="23:26" x14ac:dyDescent="0.25">
      <c r="W564" s="65"/>
      <c r="X564" s="104"/>
      <c r="Y564" s="54"/>
      <c r="Z564" s="66"/>
    </row>
    <row r="565" spans="23:26" x14ac:dyDescent="0.25">
      <c r="W565" s="65"/>
      <c r="X565" s="104"/>
      <c r="Y565" s="54"/>
      <c r="Z565" s="66"/>
    </row>
    <row r="566" spans="23:26" x14ac:dyDescent="0.25">
      <c r="W566" s="65"/>
      <c r="X566" s="104"/>
      <c r="Y566" s="54"/>
      <c r="Z566" s="66"/>
    </row>
    <row r="567" spans="23:26" x14ac:dyDescent="0.25">
      <c r="W567" s="65"/>
      <c r="X567" s="104"/>
      <c r="Y567" s="54"/>
      <c r="Z567" s="66"/>
    </row>
    <row r="568" spans="23:26" x14ac:dyDescent="0.25">
      <c r="W568" s="65"/>
      <c r="X568" s="104"/>
      <c r="Y568" s="54"/>
      <c r="Z568" s="66"/>
    </row>
    <row r="569" spans="23:26" x14ac:dyDescent="0.25">
      <c r="W569" s="65"/>
      <c r="X569" s="104"/>
      <c r="Y569" s="54"/>
      <c r="Z569" s="66"/>
    </row>
    <row r="570" spans="23:26" x14ac:dyDescent="0.25">
      <c r="W570" s="65"/>
      <c r="X570" s="104"/>
      <c r="Y570" s="54"/>
      <c r="Z570" s="66"/>
    </row>
    <row r="571" spans="23:26" x14ac:dyDescent="0.25">
      <c r="W571" s="65"/>
      <c r="X571" s="104"/>
      <c r="Y571" s="54"/>
      <c r="Z571" s="66"/>
    </row>
    <row r="572" spans="23:26" x14ac:dyDescent="0.25">
      <c r="W572" s="65"/>
      <c r="X572" s="104"/>
      <c r="Y572" s="54"/>
      <c r="Z572" s="66"/>
    </row>
    <row r="573" spans="23:26" x14ac:dyDescent="0.25">
      <c r="W573" s="65"/>
      <c r="X573" s="104"/>
      <c r="Y573" s="54"/>
      <c r="Z573" s="66"/>
    </row>
    <row r="574" spans="23:26" x14ac:dyDescent="0.25">
      <c r="W574" s="65"/>
      <c r="X574" s="104"/>
      <c r="Y574" s="54"/>
      <c r="Z574" s="66"/>
    </row>
    <row r="575" spans="23:26" x14ac:dyDescent="0.25">
      <c r="W575" s="65"/>
      <c r="X575" s="104"/>
      <c r="Y575" s="54"/>
      <c r="Z575" s="66"/>
    </row>
    <row r="576" spans="23:26" x14ac:dyDescent="0.25">
      <c r="W576" s="65"/>
      <c r="X576" s="104"/>
      <c r="Y576" s="54"/>
      <c r="Z576" s="66"/>
    </row>
    <row r="577" spans="23:26" x14ac:dyDescent="0.25">
      <c r="W577" s="65"/>
      <c r="X577" s="104"/>
      <c r="Y577" s="54"/>
      <c r="Z577" s="66"/>
    </row>
    <row r="578" spans="23:26" x14ac:dyDescent="0.25">
      <c r="W578" s="65"/>
      <c r="X578" s="104"/>
      <c r="Y578" s="54"/>
      <c r="Z578" s="66"/>
    </row>
    <row r="579" spans="23:26" x14ac:dyDescent="0.25">
      <c r="W579" s="65"/>
      <c r="X579" s="104"/>
      <c r="Y579" s="54"/>
      <c r="Z579" s="66"/>
    </row>
    <row r="580" spans="23:26" x14ac:dyDescent="0.25">
      <c r="W580" s="65"/>
      <c r="X580" s="104"/>
      <c r="Y580" s="54"/>
      <c r="Z580" s="66"/>
    </row>
    <row r="581" spans="23:26" x14ac:dyDescent="0.25">
      <c r="W581" s="65"/>
      <c r="X581" s="104"/>
      <c r="Y581" s="54"/>
      <c r="Z581" s="66"/>
    </row>
    <row r="582" spans="23:26" x14ac:dyDescent="0.25">
      <c r="W582" s="65"/>
      <c r="X582" s="104"/>
      <c r="Y582" s="54"/>
      <c r="Z582" s="66"/>
    </row>
    <row r="583" spans="23:26" x14ac:dyDescent="0.25">
      <c r="W583" s="65"/>
      <c r="X583" s="104"/>
      <c r="Y583" s="54"/>
      <c r="Z583" s="66"/>
    </row>
    <row r="584" spans="23:26" x14ac:dyDescent="0.25">
      <c r="W584" s="65"/>
      <c r="X584" s="104"/>
      <c r="Y584" s="54"/>
      <c r="Z584" s="66"/>
    </row>
    <row r="585" spans="23:26" x14ac:dyDescent="0.25">
      <c r="W585" s="65"/>
      <c r="X585" s="104"/>
      <c r="Y585" s="54"/>
      <c r="Z585" s="66"/>
    </row>
    <row r="586" spans="23:26" x14ac:dyDescent="0.25">
      <c r="W586" s="65"/>
      <c r="X586" s="104"/>
      <c r="Y586" s="54"/>
      <c r="Z586" s="66"/>
    </row>
    <row r="587" spans="23:26" x14ac:dyDescent="0.25">
      <c r="W587" s="65"/>
      <c r="X587" s="104"/>
      <c r="Y587" s="54"/>
      <c r="Z587" s="66"/>
    </row>
    <row r="588" spans="23:26" x14ac:dyDescent="0.25">
      <c r="W588" s="65"/>
      <c r="X588" s="104"/>
      <c r="Y588" s="54"/>
      <c r="Z588" s="66"/>
    </row>
    <row r="589" spans="23:26" x14ac:dyDescent="0.25">
      <c r="W589" s="65"/>
      <c r="X589" s="104"/>
      <c r="Y589" s="54"/>
      <c r="Z589" s="66"/>
    </row>
    <row r="590" spans="23:26" x14ac:dyDescent="0.25">
      <c r="W590" s="65"/>
      <c r="X590" s="104"/>
      <c r="Y590" s="54"/>
      <c r="Z590" s="66"/>
    </row>
    <row r="591" spans="23:26" x14ac:dyDescent="0.25">
      <c r="W591" s="65"/>
      <c r="X591" s="104"/>
      <c r="Y591" s="54"/>
      <c r="Z591" s="66"/>
    </row>
    <row r="592" spans="23:26" x14ac:dyDescent="0.25">
      <c r="W592" s="65"/>
      <c r="X592" s="104"/>
      <c r="Y592" s="54"/>
      <c r="Z592" s="66"/>
    </row>
    <row r="593" spans="23:26" x14ac:dyDescent="0.25">
      <c r="W593" s="65"/>
      <c r="X593" s="104"/>
      <c r="Y593" s="54"/>
      <c r="Z593" s="66"/>
    </row>
    <row r="594" spans="23:26" x14ac:dyDescent="0.25">
      <c r="W594" s="65"/>
      <c r="X594" s="104"/>
      <c r="Y594" s="54"/>
      <c r="Z594" s="66"/>
    </row>
    <row r="595" spans="23:26" x14ac:dyDescent="0.25">
      <c r="W595" s="65"/>
      <c r="X595" s="104"/>
      <c r="Y595" s="54"/>
      <c r="Z595" s="66"/>
    </row>
    <row r="596" spans="23:26" x14ac:dyDescent="0.25">
      <c r="W596" s="65"/>
      <c r="X596" s="104"/>
      <c r="Y596" s="54"/>
      <c r="Z596" s="66"/>
    </row>
    <row r="597" spans="23:26" x14ac:dyDescent="0.25">
      <c r="W597" s="65"/>
      <c r="X597" s="104"/>
      <c r="Y597" s="54"/>
      <c r="Z597" s="66"/>
    </row>
    <row r="598" spans="23:26" x14ac:dyDescent="0.25">
      <c r="W598" s="65"/>
      <c r="X598" s="104"/>
      <c r="Y598" s="54"/>
      <c r="Z598" s="66"/>
    </row>
    <row r="599" spans="23:26" x14ac:dyDescent="0.25">
      <c r="W599" s="65"/>
      <c r="X599" s="104"/>
      <c r="Y599" s="54"/>
      <c r="Z599" s="66"/>
    </row>
    <row r="600" spans="23:26" x14ac:dyDescent="0.25">
      <c r="W600" s="65"/>
      <c r="X600" s="104"/>
      <c r="Y600" s="54"/>
      <c r="Z600" s="66"/>
    </row>
    <row r="601" spans="23:26" x14ac:dyDescent="0.25">
      <c r="W601" s="65"/>
      <c r="X601" s="104"/>
      <c r="Y601" s="54"/>
      <c r="Z601" s="66"/>
    </row>
    <row r="602" spans="23:26" x14ac:dyDescent="0.25">
      <c r="W602" s="65"/>
      <c r="X602" s="104"/>
      <c r="Y602" s="54"/>
      <c r="Z602" s="66"/>
    </row>
    <row r="603" spans="23:26" x14ac:dyDescent="0.25">
      <c r="W603" s="65"/>
      <c r="X603" s="104"/>
      <c r="Y603" s="54"/>
      <c r="Z603" s="66"/>
    </row>
    <row r="604" spans="23:26" x14ac:dyDescent="0.25">
      <c r="W604" s="65"/>
      <c r="X604" s="104"/>
      <c r="Y604" s="54"/>
      <c r="Z604" s="66"/>
    </row>
    <row r="605" spans="23:26" x14ac:dyDescent="0.25">
      <c r="W605" s="65"/>
      <c r="X605" s="104"/>
      <c r="Y605" s="54"/>
      <c r="Z605" s="66"/>
    </row>
    <row r="606" spans="23:26" x14ac:dyDescent="0.25">
      <c r="W606" s="65"/>
      <c r="X606" s="104"/>
      <c r="Y606" s="54"/>
      <c r="Z606" s="66"/>
    </row>
    <row r="607" spans="23:26" x14ac:dyDescent="0.25">
      <c r="W607" s="65"/>
      <c r="X607" s="104"/>
      <c r="Y607" s="54"/>
      <c r="Z607" s="66"/>
    </row>
    <row r="608" spans="23:26" x14ac:dyDescent="0.25">
      <c r="W608" s="65"/>
      <c r="X608" s="104"/>
      <c r="Y608" s="54"/>
      <c r="Z608" s="66"/>
    </row>
    <row r="609" spans="23:26" x14ac:dyDescent="0.25">
      <c r="W609" s="65"/>
      <c r="X609" s="104"/>
      <c r="Y609" s="54"/>
      <c r="Z609" s="66"/>
    </row>
    <row r="610" spans="23:26" x14ac:dyDescent="0.25">
      <c r="W610" s="65"/>
      <c r="X610" s="104"/>
      <c r="Y610" s="54"/>
      <c r="Z610" s="66"/>
    </row>
    <row r="611" spans="23:26" x14ac:dyDescent="0.25">
      <c r="W611" s="65"/>
      <c r="X611" s="104"/>
      <c r="Y611" s="54"/>
      <c r="Z611" s="66"/>
    </row>
    <row r="612" spans="23:26" x14ac:dyDescent="0.25">
      <c r="W612" s="65"/>
      <c r="X612" s="104"/>
      <c r="Y612" s="54"/>
      <c r="Z612" s="66"/>
    </row>
    <row r="613" spans="23:26" x14ac:dyDescent="0.25">
      <c r="W613" s="65"/>
      <c r="X613" s="104"/>
      <c r="Y613" s="54"/>
      <c r="Z613" s="66"/>
    </row>
    <row r="614" spans="23:26" x14ac:dyDescent="0.25">
      <c r="W614" s="65"/>
      <c r="X614" s="104"/>
      <c r="Y614" s="54"/>
      <c r="Z614" s="66"/>
    </row>
    <row r="615" spans="23:26" x14ac:dyDescent="0.25">
      <c r="W615" s="65"/>
      <c r="X615" s="104"/>
      <c r="Y615" s="54"/>
      <c r="Z615" s="66"/>
    </row>
    <row r="616" spans="23:26" x14ac:dyDescent="0.25">
      <c r="W616" s="65"/>
      <c r="X616" s="104"/>
      <c r="Y616" s="54"/>
      <c r="Z616" s="66"/>
    </row>
    <row r="617" spans="23:26" x14ac:dyDescent="0.25">
      <c r="W617" s="65"/>
      <c r="X617" s="104"/>
      <c r="Y617" s="54"/>
      <c r="Z617" s="66"/>
    </row>
    <row r="618" spans="23:26" x14ac:dyDescent="0.25">
      <c r="W618" s="65"/>
      <c r="X618" s="104"/>
      <c r="Y618" s="54"/>
      <c r="Z618" s="66"/>
    </row>
    <row r="619" spans="23:26" x14ac:dyDescent="0.25">
      <c r="W619" s="65"/>
      <c r="X619" s="104"/>
      <c r="Y619" s="54"/>
      <c r="Z619" s="66"/>
    </row>
    <row r="620" spans="23:26" x14ac:dyDescent="0.25">
      <c r="W620" s="65"/>
      <c r="X620" s="104"/>
      <c r="Y620" s="54"/>
      <c r="Z620" s="66"/>
    </row>
    <row r="621" spans="23:26" x14ac:dyDescent="0.25">
      <c r="W621" s="65"/>
      <c r="X621" s="104"/>
      <c r="Y621" s="54"/>
      <c r="Z621" s="66"/>
    </row>
    <row r="622" spans="23:26" x14ac:dyDescent="0.25">
      <c r="W622" s="65"/>
      <c r="X622" s="104"/>
      <c r="Y622" s="54"/>
      <c r="Z622" s="66"/>
    </row>
    <row r="623" spans="23:26" x14ac:dyDescent="0.25">
      <c r="W623" s="65"/>
      <c r="X623" s="104"/>
      <c r="Y623" s="54"/>
      <c r="Z623" s="66"/>
    </row>
    <row r="624" spans="23:26" x14ac:dyDescent="0.25">
      <c r="W624" s="65"/>
      <c r="X624" s="104"/>
      <c r="Y624" s="54"/>
      <c r="Z624" s="66"/>
    </row>
    <row r="625" spans="23:26" x14ac:dyDescent="0.25">
      <c r="W625" s="65"/>
      <c r="X625" s="104"/>
      <c r="Y625" s="54"/>
      <c r="Z625" s="66"/>
    </row>
    <row r="626" spans="23:26" x14ac:dyDescent="0.25">
      <c r="W626" s="65"/>
      <c r="X626" s="104"/>
      <c r="Y626" s="54"/>
      <c r="Z626" s="66"/>
    </row>
    <row r="627" spans="23:26" x14ac:dyDescent="0.25">
      <c r="W627" s="65"/>
      <c r="X627" s="104"/>
      <c r="Y627" s="54"/>
      <c r="Z627" s="66"/>
    </row>
    <row r="628" spans="23:26" x14ac:dyDescent="0.25">
      <c r="W628" s="65"/>
      <c r="X628" s="104"/>
      <c r="Y628" s="54"/>
      <c r="Z628" s="66"/>
    </row>
    <row r="629" spans="23:26" x14ac:dyDescent="0.25">
      <c r="W629" s="65"/>
      <c r="X629" s="104"/>
      <c r="Y629" s="54"/>
      <c r="Z629" s="66"/>
    </row>
    <row r="630" spans="23:26" x14ac:dyDescent="0.25">
      <c r="W630" s="65"/>
      <c r="X630" s="104"/>
      <c r="Y630" s="54"/>
      <c r="Z630" s="66"/>
    </row>
    <row r="631" spans="23:26" x14ac:dyDescent="0.25">
      <c r="W631" s="65"/>
      <c r="X631" s="104"/>
      <c r="Y631" s="54"/>
      <c r="Z631" s="66"/>
    </row>
    <row r="632" spans="23:26" x14ac:dyDescent="0.25">
      <c r="W632" s="65"/>
      <c r="X632" s="104"/>
      <c r="Y632" s="54"/>
      <c r="Z632" s="66"/>
    </row>
    <row r="633" spans="23:26" x14ac:dyDescent="0.25">
      <c r="W633" s="65"/>
      <c r="X633" s="104"/>
      <c r="Y633" s="54"/>
      <c r="Z633" s="66"/>
    </row>
    <row r="634" spans="23:26" x14ac:dyDescent="0.25">
      <c r="W634" s="65"/>
      <c r="X634" s="104"/>
      <c r="Y634" s="54"/>
      <c r="Z634" s="66"/>
    </row>
    <row r="635" spans="23:26" x14ac:dyDescent="0.25">
      <c r="W635" s="65"/>
      <c r="X635" s="104"/>
      <c r="Y635" s="54"/>
      <c r="Z635" s="66"/>
    </row>
    <row r="636" spans="23:26" x14ac:dyDescent="0.25">
      <c r="W636" s="65"/>
      <c r="X636" s="104"/>
      <c r="Y636" s="54"/>
      <c r="Z636" s="66"/>
    </row>
    <row r="637" spans="23:26" x14ac:dyDescent="0.25">
      <c r="W637" s="65"/>
      <c r="X637" s="104"/>
      <c r="Y637" s="54"/>
      <c r="Z637" s="66"/>
    </row>
    <row r="638" spans="23:26" x14ac:dyDescent="0.25">
      <c r="W638" s="65"/>
      <c r="X638" s="104"/>
      <c r="Y638" s="54"/>
      <c r="Z638" s="66"/>
    </row>
    <row r="639" spans="23:26" x14ac:dyDescent="0.25">
      <c r="W639" s="65"/>
      <c r="X639" s="104"/>
      <c r="Y639" s="54"/>
      <c r="Z639" s="66"/>
    </row>
    <row r="640" spans="23: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row r="8782" spans="23:26" x14ac:dyDescent="0.25">
      <c r="W8782" s="65"/>
      <c r="X8782" s="104"/>
      <c r="Y8782" s="54"/>
      <c r="Z8782" s="66"/>
    </row>
    <row r="8783" spans="23:26" x14ac:dyDescent="0.25">
      <c r="W8783" s="65"/>
      <c r="X8783" s="104"/>
      <c r="Y8783" s="54"/>
      <c r="Z8783" s="66"/>
    </row>
    <row r="8784" spans="23:26" x14ac:dyDescent="0.25">
      <c r="W8784" s="65"/>
      <c r="X8784" s="104"/>
      <c r="Y8784" s="54"/>
      <c r="Z8784" s="66"/>
    </row>
    <row r="8785" spans="23:26" x14ac:dyDescent="0.25">
      <c r="W8785" s="65"/>
      <c r="X8785" s="104"/>
      <c r="Y8785" s="54"/>
      <c r="Z8785" s="66"/>
    </row>
    <row r="8786" spans="23:26" x14ac:dyDescent="0.25">
      <c r="W8786" s="65"/>
      <c r="X8786" s="104"/>
      <c r="Y8786" s="54"/>
      <c r="Z8786" s="66"/>
    </row>
    <row r="8787" spans="23:26" x14ac:dyDescent="0.25">
      <c r="W8787" s="65"/>
      <c r="X8787" s="104"/>
      <c r="Y8787" s="54"/>
      <c r="Z8787" s="66"/>
    </row>
    <row r="8788" spans="23:26" x14ac:dyDescent="0.25">
      <c r="W8788" s="65"/>
      <c r="X8788" s="104"/>
      <c r="Y8788" s="54"/>
      <c r="Z8788" s="66"/>
    </row>
    <row r="8789" spans="23:26" x14ac:dyDescent="0.25">
      <c r="W8789" s="65"/>
      <c r="X8789" s="104"/>
      <c r="Y8789" s="54"/>
      <c r="Z8789" s="66"/>
    </row>
    <row r="8790" spans="23:26" x14ac:dyDescent="0.25">
      <c r="W8790" s="65"/>
      <c r="X8790" s="104"/>
      <c r="Y8790" s="54"/>
      <c r="Z8790" s="66"/>
    </row>
    <row r="8791" spans="23:26" x14ac:dyDescent="0.25">
      <c r="W8791" s="65"/>
      <c r="X8791" s="104"/>
      <c r="Y8791" s="54"/>
      <c r="Z8791" s="66"/>
    </row>
    <row r="8792" spans="23:26" x14ac:dyDescent="0.25">
      <c r="W8792" s="65"/>
      <c r="X8792" s="104"/>
      <c r="Y8792" s="54"/>
      <c r="Z8792" s="66"/>
    </row>
    <row r="8793" spans="23:26" x14ac:dyDescent="0.25">
      <c r="W8793" s="65"/>
      <c r="X8793" s="104"/>
      <c r="Y8793" s="54"/>
      <c r="Z8793" s="66"/>
    </row>
    <row r="8794" spans="23:26" x14ac:dyDescent="0.25">
      <c r="W8794" s="65"/>
      <c r="X8794" s="104"/>
      <c r="Y8794" s="54"/>
      <c r="Z8794" s="66"/>
    </row>
    <row r="8795" spans="23:26" x14ac:dyDescent="0.25">
      <c r="W8795" s="65"/>
      <c r="X8795" s="104"/>
      <c r="Y8795" s="54"/>
      <c r="Z8795" s="66"/>
    </row>
    <row r="8796" spans="23:26" x14ac:dyDescent="0.25">
      <c r="W8796" s="65"/>
      <c r="X8796" s="104"/>
      <c r="Y8796" s="54"/>
      <c r="Z8796" s="66"/>
    </row>
    <row r="8797" spans="23:26" x14ac:dyDescent="0.25">
      <c r="W8797" s="65"/>
      <c r="X8797" s="104"/>
      <c r="Y8797" s="54"/>
      <c r="Z8797" s="66"/>
    </row>
    <row r="8798" spans="23:26" x14ac:dyDescent="0.25">
      <c r="W8798" s="65"/>
      <c r="X8798" s="104"/>
      <c r="Y8798" s="54"/>
      <c r="Z8798" s="66"/>
    </row>
    <row r="8799" spans="23:26" x14ac:dyDescent="0.25">
      <c r="W8799" s="65"/>
      <c r="X8799" s="104"/>
      <c r="Y8799" s="54"/>
      <c r="Z8799" s="66"/>
    </row>
    <row r="8800" spans="23:26" x14ac:dyDescent="0.25">
      <c r="W8800" s="65"/>
      <c r="X8800" s="104"/>
      <c r="Y8800" s="54"/>
      <c r="Z8800" s="66"/>
    </row>
    <row r="8801" spans="23:26" x14ac:dyDescent="0.25">
      <c r="W8801" s="65"/>
      <c r="X8801" s="104"/>
      <c r="Y8801" s="54"/>
      <c r="Z8801" s="66"/>
    </row>
    <row r="8802" spans="23:26" x14ac:dyDescent="0.25">
      <c r="W8802" s="65"/>
      <c r="X8802" s="104"/>
      <c r="Y8802" s="54"/>
      <c r="Z8802" s="66"/>
    </row>
    <row r="8803" spans="23:26" x14ac:dyDescent="0.25">
      <c r="W8803" s="65"/>
      <c r="X8803" s="104"/>
      <c r="Y8803" s="54"/>
      <c r="Z8803" s="66"/>
    </row>
    <row r="8804" spans="23:26" x14ac:dyDescent="0.25">
      <c r="W8804" s="65"/>
      <c r="X8804" s="104"/>
      <c r="Y8804" s="54"/>
      <c r="Z8804" s="66"/>
    </row>
    <row r="8805" spans="23:26" x14ac:dyDescent="0.25">
      <c r="W8805" s="65"/>
      <c r="X8805" s="104"/>
      <c r="Y8805" s="54"/>
      <c r="Z8805" s="66"/>
    </row>
    <row r="8806" spans="23:26" x14ac:dyDescent="0.25">
      <c r="W8806" s="65"/>
      <c r="X8806" s="104"/>
      <c r="Y8806" s="54"/>
      <c r="Z8806" s="66"/>
    </row>
    <row r="8807" spans="23:26" x14ac:dyDescent="0.25">
      <c r="W8807" s="65"/>
      <c r="X8807" s="104"/>
      <c r="Y8807" s="54"/>
      <c r="Z8807" s="66"/>
    </row>
    <row r="8808" spans="23:26" x14ac:dyDescent="0.25">
      <c r="W8808" s="65"/>
      <c r="X8808" s="104"/>
      <c r="Y8808" s="54"/>
      <c r="Z8808" s="66"/>
    </row>
    <row r="8809" spans="23:26" x14ac:dyDescent="0.25">
      <c r="W8809" s="65"/>
      <c r="X8809" s="104"/>
      <c r="Y8809" s="54"/>
      <c r="Z8809" s="66"/>
    </row>
    <row r="8810" spans="23:26" x14ac:dyDescent="0.25">
      <c r="W8810" s="65"/>
      <c r="X8810" s="104"/>
      <c r="Y8810" s="54"/>
      <c r="Z8810" s="66"/>
    </row>
    <row r="8811" spans="23:26" x14ac:dyDescent="0.25">
      <c r="W8811" s="65"/>
      <c r="X8811" s="104"/>
      <c r="Y8811" s="54"/>
      <c r="Z8811" s="66"/>
    </row>
    <row r="8812" spans="23:26" x14ac:dyDescent="0.25">
      <c r="W8812" s="65"/>
      <c r="X8812" s="104"/>
      <c r="Y8812" s="54"/>
      <c r="Z8812" s="66"/>
    </row>
    <row r="8813" spans="23:26" x14ac:dyDescent="0.25">
      <c r="W8813" s="65"/>
      <c r="X8813" s="104"/>
      <c r="Y8813" s="54"/>
      <c r="Z8813" s="66"/>
    </row>
    <row r="8814" spans="23:26" x14ac:dyDescent="0.25">
      <c r="W8814" s="65"/>
      <c r="X8814" s="104"/>
      <c r="Y8814" s="54"/>
      <c r="Z8814" s="66"/>
    </row>
    <row r="8815" spans="23:26" x14ac:dyDescent="0.25">
      <c r="W8815" s="65"/>
      <c r="X8815" s="104"/>
      <c r="Y8815" s="54"/>
      <c r="Z8815" s="66"/>
    </row>
    <row r="8816" spans="23:26" x14ac:dyDescent="0.25">
      <c r="W8816" s="65"/>
      <c r="X8816" s="104"/>
      <c r="Y8816" s="54"/>
      <c r="Z8816" s="66"/>
    </row>
    <row r="8817" spans="23:26" x14ac:dyDescent="0.25">
      <c r="W8817" s="65"/>
      <c r="X8817" s="104"/>
      <c r="Y8817" s="54"/>
      <c r="Z8817" s="66"/>
    </row>
    <row r="8818" spans="23:26" x14ac:dyDescent="0.25">
      <c r="W8818" s="65"/>
      <c r="X8818" s="104"/>
      <c r="Y8818" s="54"/>
      <c r="Z8818" s="66"/>
    </row>
    <row r="8819" spans="23:26" x14ac:dyDescent="0.25">
      <c r="W8819" s="65"/>
      <c r="X8819" s="104"/>
      <c r="Y8819" s="54"/>
      <c r="Z8819" s="66"/>
    </row>
    <row r="8820" spans="23:26" x14ac:dyDescent="0.25">
      <c r="W8820" s="65"/>
      <c r="X8820" s="104"/>
      <c r="Y8820" s="54"/>
      <c r="Z8820" s="66"/>
    </row>
    <row r="8821" spans="23:26" x14ac:dyDescent="0.25">
      <c r="W8821" s="65"/>
      <c r="X8821" s="104"/>
      <c r="Y8821" s="54"/>
      <c r="Z8821" s="66"/>
    </row>
    <row r="8822" spans="23:26" x14ac:dyDescent="0.25">
      <c r="W8822" s="65"/>
      <c r="X8822" s="104"/>
      <c r="Y8822" s="54"/>
      <c r="Z8822" s="66"/>
    </row>
    <row r="8823" spans="23:26" x14ac:dyDescent="0.25">
      <c r="W8823" s="65"/>
      <c r="X8823" s="104"/>
      <c r="Y8823" s="54"/>
      <c r="Z8823" s="66"/>
    </row>
    <row r="8824" spans="23:26" x14ac:dyDescent="0.25">
      <c r="W8824" s="65"/>
      <c r="X8824" s="104"/>
      <c r="Y8824" s="54"/>
      <c r="Z8824" s="66"/>
    </row>
    <row r="8825" spans="23:26" x14ac:dyDescent="0.25">
      <c r="W8825" s="65"/>
      <c r="X8825" s="104"/>
      <c r="Y8825" s="54"/>
      <c r="Z8825" s="66"/>
    </row>
    <row r="8826" spans="23:26" x14ac:dyDescent="0.25">
      <c r="W8826" s="65"/>
      <c r="X8826" s="104"/>
      <c r="Y8826" s="54"/>
      <c r="Z8826" s="66"/>
    </row>
    <row r="8827" spans="23:26" x14ac:dyDescent="0.25">
      <c r="W8827" s="65"/>
      <c r="X8827" s="104"/>
      <c r="Y8827" s="54"/>
      <c r="Z8827" s="66"/>
    </row>
    <row r="8828" spans="23:26" x14ac:dyDescent="0.25">
      <c r="W8828" s="65"/>
      <c r="X8828" s="104"/>
      <c r="Y8828" s="54"/>
      <c r="Z8828" s="66"/>
    </row>
    <row r="8829" spans="23:26" x14ac:dyDescent="0.25">
      <c r="W8829" s="65"/>
      <c r="X8829" s="104"/>
      <c r="Y8829" s="54"/>
      <c r="Z8829" s="66"/>
    </row>
    <row r="8830" spans="23:26" x14ac:dyDescent="0.25">
      <c r="W8830" s="65"/>
      <c r="X8830" s="104"/>
      <c r="Y8830" s="54"/>
      <c r="Z8830" s="66"/>
    </row>
    <row r="8831" spans="23:26" x14ac:dyDescent="0.25">
      <c r="W8831" s="65"/>
      <c r="X8831" s="104"/>
      <c r="Y8831" s="54"/>
      <c r="Z8831" s="66"/>
    </row>
    <row r="8832" spans="23:26" x14ac:dyDescent="0.25">
      <c r="W8832" s="65"/>
      <c r="X8832" s="104"/>
      <c r="Y8832" s="54"/>
      <c r="Z8832" s="66"/>
    </row>
    <row r="8833" spans="23:26" x14ac:dyDescent="0.25">
      <c r="W8833" s="65"/>
      <c r="X8833" s="104"/>
      <c r="Y8833" s="54"/>
      <c r="Z8833" s="66"/>
    </row>
    <row r="8834" spans="23:26" x14ac:dyDescent="0.25">
      <c r="W8834" s="65"/>
      <c r="X8834" s="104"/>
      <c r="Y8834" s="54"/>
      <c r="Z8834" s="66"/>
    </row>
    <row r="8835" spans="23:26" x14ac:dyDescent="0.25">
      <c r="W8835" s="65"/>
      <c r="X8835" s="104"/>
      <c r="Y8835" s="54"/>
      <c r="Z8835" s="66"/>
    </row>
    <row r="8836" spans="23:26" x14ac:dyDescent="0.25">
      <c r="W8836" s="65"/>
      <c r="X8836" s="104"/>
      <c r="Y8836" s="54"/>
      <c r="Z8836" s="66"/>
    </row>
    <row r="8837" spans="23:26" x14ac:dyDescent="0.25">
      <c r="W8837" s="65"/>
      <c r="X8837" s="104"/>
      <c r="Y8837" s="54"/>
      <c r="Z8837" s="66"/>
    </row>
    <row r="8838" spans="23:26" x14ac:dyDescent="0.25">
      <c r="W8838" s="65"/>
      <c r="X8838" s="104"/>
      <c r="Y8838" s="54"/>
      <c r="Z8838" s="66"/>
    </row>
    <row r="8839" spans="23:26" x14ac:dyDescent="0.25">
      <c r="W8839" s="65"/>
      <c r="X8839" s="104"/>
      <c r="Y8839" s="54"/>
      <c r="Z8839" s="66"/>
    </row>
    <row r="8840" spans="23:26" x14ac:dyDescent="0.25">
      <c r="W8840" s="65"/>
      <c r="X8840" s="104"/>
      <c r="Y8840" s="54"/>
      <c r="Z8840" s="66"/>
    </row>
    <row r="8841" spans="23:26" x14ac:dyDescent="0.25">
      <c r="W8841" s="65"/>
      <c r="X8841" s="104"/>
      <c r="Y8841" s="54"/>
      <c r="Z8841" s="66"/>
    </row>
    <row r="8842" spans="23:26" x14ac:dyDescent="0.25">
      <c r="W8842" s="65"/>
      <c r="X8842" s="104"/>
      <c r="Y8842" s="54"/>
      <c r="Z8842" s="66"/>
    </row>
    <row r="8843" spans="23:26" x14ac:dyDescent="0.25">
      <c r="W8843" s="65"/>
      <c r="X8843" s="104"/>
      <c r="Y8843" s="54"/>
      <c r="Z8843" s="66"/>
    </row>
    <row r="8844" spans="23:26" x14ac:dyDescent="0.25">
      <c r="W8844" s="65"/>
      <c r="X8844" s="104"/>
      <c r="Y8844" s="54"/>
      <c r="Z8844" s="66"/>
    </row>
    <row r="8845" spans="23:26" x14ac:dyDescent="0.25">
      <c r="W8845" s="65"/>
      <c r="X8845" s="104"/>
      <c r="Y8845" s="54"/>
      <c r="Z8845" s="66"/>
    </row>
    <row r="8846" spans="23:26" x14ac:dyDescent="0.25">
      <c r="W8846" s="65"/>
      <c r="X8846" s="104"/>
      <c r="Y8846" s="54"/>
      <c r="Z8846" s="66"/>
    </row>
    <row r="8847" spans="23:26" x14ac:dyDescent="0.25">
      <c r="W8847" s="65"/>
      <c r="X8847" s="104"/>
      <c r="Y8847" s="54"/>
      <c r="Z8847" s="66"/>
    </row>
    <row r="8848" spans="23:26" x14ac:dyDescent="0.25">
      <c r="W8848" s="65"/>
      <c r="X8848" s="104"/>
      <c r="Y8848" s="54"/>
      <c r="Z8848" s="66"/>
    </row>
    <row r="8849" spans="23:26" x14ac:dyDescent="0.25">
      <c r="W8849" s="65"/>
      <c r="X8849" s="104"/>
      <c r="Y8849" s="54"/>
      <c r="Z8849" s="66"/>
    </row>
    <row r="8850" spans="23:26" x14ac:dyDescent="0.25">
      <c r="W8850" s="65"/>
      <c r="X8850" s="104"/>
      <c r="Y8850" s="54"/>
      <c r="Z8850" s="66"/>
    </row>
    <row r="8851" spans="23:26" x14ac:dyDescent="0.25">
      <c r="W8851" s="65"/>
      <c r="X8851" s="104"/>
      <c r="Y8851" s="54"/>
      <c r="Z8851" s="66"/>
    </row>
    <row r="8852" spans="23:26" x14ac:dyDescent="0.25">
      <c r="W8852" s="65"/>
      <c r="X8852" s="104"/>
      <c r="Y8852" s="54"/>
      <c r="Z8852" s="66"/>
    </row>
    <row r="8853" spans="23:26" x14ac:dyDescent="0.25">
      <c r="W8853" s="65"/>
      <c r="X8853" s="104"/>
      <c r="Y8853" s="54"/>
      <c r="Z8853" s="66"/>
    </row>
    <row r="8854" spans="23:26" x14ac:dyDescent="0.25">
      <c r="W8854" s="65"/>
      <c r="X8854" s="104"/>
      <c r="Y8854" s="54"/>
      <c r="Z8854" s="66"/>
    </row>
    <row r="8855" spans="23:26" x14ac:dyDescent="0.25">
      <c r="W8855" s="65"/>
      <c r="X8855" s="104"/>
      <c r="Y8855" s="54"/>
      <c r="Z8855" s="66"/>
    </row>
    <row r="8856" spans="23:26" x14ac:dyDescent="0.25">
      <c r="W8856" s="65"/>
      <c r="X8856" s="104"/>
      <c r="Y8856" s="54"/>
      <c r="Z8856" s="66"/>
    </row>
    <row r="8857" spans="23:26" x14ac:dyDescent="0.25">
      <c r="W8857" s="65"/>
      <c r="X8857" s="104"/>
      <c r="Y8857" s="54"/>
      <c r="Z8857" s="66"/>
    </row>
    <row r="8858" spans="23:26" x14ac:dyDescent="0.25">
      <c r="W8858" s="65"/>
      <c r="X8858" s="104"/>
      <c r="Y8858" s="54"/>
      <c r="Z8858" s="66"/>
    </row>
    <row r="8859" spans="23:26" x14ac:dyDescent="0.25">
      <c r="W8859" s="65"/>
      <c r="X8859" s="104"/>
      <c r="Y8859" s="54"/>
      <c r="Z8859" s="66"/>
    </row>
    <row r="8860" spans="23:26" x14ac:dyDescent="0.25">
      <c r="W8860" s="65"/>
      <c r="X8860" s="104"/>
      <c r="Y8860" s="54"/>
      <c r="Z8860" s="66"/>
    </row>
    <row r="8861" spans="23:26" x14ac:dyDescent="0.25">
      <c r="W8861" s="65"/>
      <c r="X8861" s="104"/>
      <c r="Y8861" s="54"/>
      <c r="Z8861" s="66"/>
    </row>
    <row r="8862" spans="23:26" x14ac:dyDescent="0.25">
      <c r="W8862" s="65"/>
      <c r="X8862" s="104"/>
      <c r="Y8862" s="54"/>
      <c r="Z8862" s="66"/>
    </row>
    <row r="8863" spans="23:26" x14ac:dyDescent="0.25">
      <c r="W8863" s="65"/>
      <c r="X8863" s="104"/>
      <c r="Y8863" s="54"/>
      <c r="Z8863" s="66"/>
    </row>
    <row r="8864" spans="23:26" x14ac:dyDescent="0.25">
      <c r="W8864" s="65"/>
      <c r="X8864" s="104"/>
      <c r="Y8864" s="54"/>
      <c r="Z8864" s="66"/>
    </row>
    <row r="8865" spans="23:26" x14ac:dyDescent="0.25">
      <c r="W8865" s="65"/>
      <c r="X8865" s="104"/>
      <c r="Y8865" s="54"/>
      <c r="Z8865" s="66"/>
    </row>
    <row r="8866" spans="23:26" x14ac:dyDescent="0.25">
      <c r="W8866" s="65"/>
      <c r="X8866" s="104"/>
      <c r="Y8866" s="54"/>
      <c r="Z8866" s="66"/>
    </row>
    <row r="8867" spans="23:26" x14ac:dyDescent="0.25">
      <c r="W8867" s="65"/>
      <c r="X8867" s="104"/>
      <c r="Y8867" s="54"/>
      <c r="Z8867" s="66"/>
    </row>
    <row r="8868" spans="23:26" x14ac:dyDescent="0.25">
      <c r="W8868" s="65"/>
      <c r="X8868" s="104"/>
      <c r="Y8868" s="54"/>
      <c r="Z8868" s="66"/>
    </row>
    <row r="8869" spans="23:26" x14ac:dyDescent="0.25">
      <c r="W8869" s="65"/>
      <c r="X8869" s="104"/>
      <c r="Y8869" s="54"/>
      <c r="Z8869" s="66"/>
    </row>
    <row r="8870" spans="23:26" x14ac:dyDescent="0.25">
      <c r="W8870" s="65"/>
      <c r="X8870" s="104"/>
      <c r="Y8870" s="54"/>
      <c r="Z8870" s="66"/>
    </row>
    <row r="8871" spans="23:26" x14ac:dyDescent="0.25">
      <c r="W8871" s="65"/>
      <c r="X8871" s="104"/>
      <c r="Y8871" s="54"/>
      <c r="Z8871" s="66"/>
    </row>
    <row r="8872" spans="23:26" x14ac:dyDescent="0.25">
      <c r="W8872" s="65"/>
      <c r="X8872" s="104"/>
      <c r="Y8872" s="54"/>
      <c r="Z8872" s="66"/>
    </row>
    <row r="8873" spans="23:26" x14ac:dyDescent="0.25">
      <c r="W8873" s="65"/>
      <c r="X8873" s="104"/>
      <c r="Y8873" s="54"/>
      <c r="Z8873" s="66"/>
    </row>
    <row r="8874" spans="23:26" x14ac:dyDescent="0.25">
      <c r="W8874" s="65"/>
      <c r="X8874" s="104"/>
      <c r="Y8874" s="54"/>
      <c r="Z8874" s="66"/>
    </row>
    <row r="8875" spans="23:26" x14ac:dyDescent="0.25">
      <c r="W8875" s="65"/>
      <c r="X8875" s="104"/>
      <c r="Y8875" s="54"/>
      <c r="Z8875" s="66"/>
    </row>
    <row r="8876" spans="23:26" x14ac:dyDescent="0.25">
      <c r="W8876" s="65"/>
      <c r="X8876" s="104"/>
      <c r="Y8876" s="54"/>
      <c r="Z8876" s="66"/>
    </row>
    <row r="8877" spans="23:26" x14ac:dyDescent="0.25">
      <c r="W8877" s="65"/>
      <c r="X8877" s="104"/>
      <c r="Y8877" s="54"/>
      <c r="Z8877" s="66"/>
    </row>
    <row r="8878" spans="23:26" x14ac:dyDescent="0.25">
      <c r="W8878" s="65"/>
      <c r="X8878" s="104"/>
      <c r="Y8878" s="54"/>
      <c r="Z8878" s="66"/>
    </row>
    <row r="8879" spans="23:26" x14ac:dyDescent="0.25">
      <c r="W8879" s="65"/>
      <c r="X8879" s="104"/>
      <c r="Y8879" s="54"/>
      <c r="Z8879" s="66"/>
    </row>
    <row r="8880" spans="23:26" x14ac:dyDescent="0.25">
      <c r="W8880" s="65"/>
      <c r="X8880" s="104"/>
      <c r="Y8880" s="54"/>
      <c r="Z8880" s="66"/>
    </row>
    <row r="8881" spans="23:26" x14ac:dyDescent="0.25">
      <c r="W8881" s="65"/>
      <c r="X8881" s="104"/>
      <c r="Y8881" s="54"/>
      <c r="Z8881" s="66"/>
    </row>
    <row r="8882" spans="23:26" x14ac:dyDescent="0.25">
      <c r="W8882" s="65"/>
      <c r="X8882" s="104"/>
      <c r="Y8882" s="54"/>
      <c r="Z8882" s="66"/>
    </row>
    <row r="8883" spans="23:26" x14ac:dyDescent="0.25">
      <c r="W8883" s="65"/>
      <c r="X8883" s="104"/>
      <c r="Y8883" s="54"/>
      <c r="Z8883" s="66"/>
    </row>
    <row r="8884" spans="23:26" x14ac:dyDescent="0.25">
      <c r="W8884" s="65"/>
      <c r="X8884" s="104"/>
      <c r="Y8884" s="54"/>
      <c r="Z8884" s="66"/>
    </row>
    <row r="8885" spans="23:26" x14ac:dyDescent="0.25">
      <c r="W8885" s="65"/>
      <c r="X8885" s="104"/>
      <c r="Y8885" s="54"/>
      <c r="Z8885" s="66"/>
    </row>
    <row r="8886" spans="23:26" x14ac:dyDescent="0.25">
      <c r="W8886" s="65"/>
      <c r="X8886" s="104"/>
      <c r="Y8886" s="54"/>
      <c r="Z8886" s="66"/>
    </row>
    <row r="8887" spans="23:26" x14ac:dyDescent="0.25">
      <c r="W8887" s="65"/>
      <c r="X8887" s="104"/>
      <c r="Y8887" s="54"/>
      <c r="Z8887" s="66"/>
    </row>
    <row r="8888" spans="23:26" x14ac:dyDescent="0.25">
      <c r="W8888" s="65"/>
      <c r="X8888" s="104"/>
      <c r="Y8888" s="54"/>
      <c r="Z8888" s="66"/>
    </row>
    <row r="8889" spans="23:26" x14ac:dyDescent="0.25">
      <c r="W8889" s="65"/>
      <c r="X8889" s="104"/>
      <c r="Y8889" s="54"/>
      <c r="Z8889" s="66"/>
    </row>
    <row r="8890" spans="23:26" x14ac:dyDescent="0.25">
      <c r="W8890" s="65"/>
      <c r="X8890" s="104"/>
      <c r="Y8890" s="54"/>
      <c r="Z8890" s="66"/>
    </row>
    <row r="8891" spans="23:26" x14ac:dyDescent="0.25">
      <c r="W8891" s="65"/>
      <c r="X8891" s="104"/>
      <c r="Y8891" s="54"/>
      <c r="Z8891" s="66"/>
    </row>
    <row r="8892" spans="23:26" x14ac:dyDescent="0.25">
      <c r="W8892" s="65"/>
      <c r="X8892" s="104"/>
      <c r="Y8892" s="54"/>
      <c r="Z8892" s="66"/>
    </row>
    <row r="8893" spans="23:26" x14ac:dyDescent="0.25">
      <c r="W8893" s="65"/>
      <c r="X8893" s="104"/>
      <c r="Y8893" s="54"/>
      <c r="Z8893" s="66"/>
    </row>
    <row r="8894" spans="23:26" x14ac:dyDescent="0.25">
      <c r="W8894" s="65"/>
      <c r="X8894" s="104"/>
      <c r="Y8894" s="54"/>
      <c r="Z8894" s="66"/>
    </row>
    <row r="8895" spans="23:26" x14ac:dyDescent="0.25">
      <c r="W8895" s="65"/>
      <c r="X8895" s="104"/>
      <c r="Y8895" s="54"/>
      <c r="Z8895" s="66"/>
    </row>
    <row r="8896" spans="23:26" x14ac:dyDescent="0.25">
      <c r="W8896" s="65"/>
      <c r="X8896" s="104"/>
      <c r="Y8896" s="54"/>
      <c r="Z8896" s="66"/>
    </row>
    <row r="8897" spans="23:26" x14ac:dyDescent="0.25">
      <c r="W8897" s="65"/>
      <c r="X8897" s="104"/>
      <c r="Y8897" s="54"/>
      <c r="Z8897" s="66"/>
    </row>
    <row r="8898" spans="23:26" x14ac:dyDescent="0.25">
      <c r="W8898" s="65"/>
      <c r="X8898" s="104"/>
      <c r="Y8898" s="54"/>
      <c r="Z8898" s="66"/>
    </row>
    <row r="8899" spans="23:26" x14ac:dyDescent="0.25">
      <c r="W8899" s="65"/>
      <c r="X8899" s="104"/>
      <c r="Y8899" s="54"/>
      <c r="Z8899" s="66"/>
    </row>
    <row r="8900" spans="23:26" x14ac:dyDescent="0.25">
      <c r="W8900" s="65"/>
      <c r="X8900" s="104"/>
      <c r="Y8900" s="54"/>
      <c r="Z8900" s="66"/>
    </row>
    <row r="8901" spans="23:26" x14ac:dyDescent="0.25">
      <c r="W8901" s="65"/>
      <c r="X8901" s="104"/>
      <c r="Y8901" s="54"/>
      <c r="Z8901" s="66"/>
    </row>
    <row r="8902" spans="23:26" x14ac:dyDescent="0.25">
      <c r="W8902" s="65"/>
      <c r="X8902" s="104"/>
      <c r="Y8902" s="54"/>
      <c r="Z8902" s="66"/>
    </row>
    <row r="8903" spans="23:26" x14ac:dyDescent="0.25">
      <c r="W8903" s="65"/>
      <c r="X8903" s="104"/>
      <c r="Y8903" s="54"/>
      <c r="Z8903" s="66"/>
    </row>
    <row r="8904" spans="23:26" x14ac:dyDescent="0.25">
      <c r="W8904" s="65"/>
      <c r="X8904" s="104"/>
      <c r="Y8904" s="54"/>
      <c r="Z8904" s="66"/>
    </row>
    <row r="8905" spans="23:26" x14ac:dyDescent="0.25">
      <c r="W8905" s="65"/>
      <c r="X8905" s="104"/>
      <c r="Y8905" s="54"/>
      <c r="Z8905" s="66"/>
    </row>
    <row r="8906" spans="23:26" x14ac:dyDescent="0.25">
      <c r="W8906" s="65"/>
      <c r="X8906" s="104"/>
      <c r="Y8906" s="54"/>
      <c r="Z8906" s="66"/>
    </row>
    <row r="8907" spans="23:26" x14ac:dyDescent="0.25">
      <c r="W8907" s="65"/>
      <c r="X8907" s="104"/>
      <c r="Y8907" s="54"/>
      <c r="Z8907" s="66"/>
    </row>
    <row r="8908" spans="23:26" x14ac:dyDescent="0.25">
      <c r="W8908" s="65"/>
      <c r="X8908" s="104"/>
      <c r="Y8908" s="54"/>
      <c r="Z8908" s="66"/>
    </row>
    <row r="8909" spans="23:26" x14ac:dyDescent="0.25">
      <c r="W8909" s="65"/>
      <c r="X8909" s="104"/>
      <c r="Y8909" s="54"/>
      <c r="Z8909" s="66"/>
    </row>
    <row r="8910" spans="23:26" x14ac:dyDescent="0.25">
      <c r="W8910" s="65"/>
      <c r="X8910" s="104"/>
      <c r="Y8910" s="54"/>
      <c r="Z8910" s="66"/>
    </row>
    <row r="8911" spans="23:26" x14ac:dyDescent="0.25">
      <c r="W8911" s="65"/>
      <c r="X8911" s="104"/>
      <c r="Y8911" s="54"/>
      <c r="Z8911" s="66"/>
    </row>
    <row r="8912" spans="23:26" x14ac:dyDescent="0.25">
      <c r="W8912" s="65"/>
      <c r="X8912" s="104"/>
      <c r="Y8912" s="54"/>
      <c r="Z8912" s="66"/>
    </row>
    <row r="8913" spans="23:26" x14ac:dyDescent="0.25">
      <c r="W8913" s="65"/>
      <c r="X8913" s="104"/>
      <c r="Y8913" s="54"/>
      <c r="Z8913" s="66"/>
    </row>
    <row r="8914" spans="23:26" x14ac:dyDescent="0.25">
      <c r="W8914" s="65"/>
      <c r="X8914" s="104"/>
      <c r="Y8914" s="54"/>
      <c r="Z8914" s="66"/>
    </row>
    <row r="8915" spans="23:26" x14ac:dyDescent="0.25">
      <c r="W8915" s="65"/>
      <c r="X8915" s="104"/>
      <c r="Y8915" s="54"/>
      <c r="Z8915" s="66"/>
    </row>
    <row r="8916" spans="23:26" x14ac:dyDescent="0.25">
      <c r="W8916" s="65"/>
      <c r="X8916" s="104"/>
      <c r="Y8916" s="54"/>
      <c r="Z8916" s="66"/>
    </row>
    <row r="8917" spans="23:26" x14ac:dyDescent="0.25">
      <c r="W8917" s="65"/>
      <c r="X8917" s="104"/>
      <c r="Y8917" s="54"/>
      <c r="Z8917" s="66"/>
    </row>
    <row r="8918" spans="23:26" x14ac:dyDescent="0.25">
      <c r="W8918" s="65"/>
      <c r="X8918" s="104"/>
      <c r="Y8918" s="54"/>
      <c r="Z8918" s="66"/>
    </row>
    <row r="8919" spans="23:26" x14ac:dyDescent="0.25">
      <c r="W8919" s="65"/>
      <c r="X8919" s="104"/>
      <c r="Y8919" s="54"/>
      <c r="Z8919" s="66"/>
    </row>
    <row r="8920" spans="23:26" x14ac:dyDescent="0.25">
      <c r="W8920" s="65"/>
      <c r="X8920" s="104"/>
      <c r="Y8920" s="54"/>
      <c r="Z8920" s="66"/>
    </row>
    <row r="8921" spans="23:26" x14ac:dyDescent="0.25">
      <c r="W8921" s="65"/>
      <c r="X8921" s="104"/>
      <c r="Y8921" s="54"/>
      <c r="Z8921" s="66"/>
    </row>
    <row r="8922" spans="23:26" x14ac:dyDescent="0.25">
      <c r="W8922" s="65"/>
      <c r="X8922" s="104"/>
      <c r="Y8922" s="54"/>
      <c r="Z8922" s="66"/>
    </row>
    <row r="8923" spans="23:26" x14ac:dyDescent="0.25">
      <c r="W8923" s="65"/>
      <c r="X8923" s="104"/>
      <c r="Y8923" s="54"/>
      <c r="Z8923" s="66"/>
    </row>
    <row r="8924" spans="23:26" x14ac:dyDescent="0.25">
      <c r="W8924" s="65"/>
      <c r="X8924" s="104"/>
      <c r="Y8924" s="54"/>
      <c r="Z8924" s="66"/>
    </row>
    <row r="8925" spans="23:26" x14ac:dyDescent="0.25">
      <c r="W8925" s="65"/>
      <c r="X8925" s="104"/>
      <c r="Y8925" s="54"/>
      <c r="Z8925" s="66"/>
    </row>
    <row r="8926" spans="23:26" x14ac:dyDescent="0.25">
      <c r="W8926" s="65"/>
      <c r="X8926" s="104"/>
      <c r="Y8926" s="54"/>
      <c r="Z8926" s="66"/>
    </row>
    <row r="8927" spans="23:26" x14ac:dyDescent="0.25">
      <c r="W8927" s="65"/>
      <c r="X8927" s="104"/>
      <c r="Y8927" s="54"/>
      <c r="Z8927" s="66"/>
    </row>
    <row r="8928" spans="23:26" x14ac:dyDescent="0.25">
      <c r="W8928" s="65"/>
      <c r="X8928" s="104"/>
      <c r="Y8928" s="54"/>
      <c r="Z8928" s="66"/>
    </row>
    <row r="8929" spans="23:26" x14ac:dyDescent="0.25">
      <c r="W8929" s="65"/>
      <c r="X8929" s="104"/>
      <c r="Y8929" s="54"/>
      <c r="Z8929" s="66"/>
    </row>
    <row r="8930" spans="23:26" x14ac:dyDescent="0.25">
      <c r="W8930" s="65"/>
      <c r="X8930" s="104"/>
      <c r="Y8930" s="54"/>
      <c r="Z8930" s="66"/>
    </row>
    <row r="8931" spans="23:26" x14ac:dyDescent="0.25">
      <c r="W8931" s="65"/>
      <c r="X8931" s="104"/>
      <c r="Y8931" s="54"/>
      <c r="Z8931" s="66"/>
    </row>
    <row r="8932" spans="23:26" x14ac:dyDescent="0.25">
      <c r="W8932" s="65"/>
      <c r="X8932" s="104"/>
      <c r="Y8932" s="54"/>
      <c r="Z8932" s="66"/>
    </row>
    <row r="8933" spans="23:26" x14ac:dyDescent="0.25">
      <c r="W8933" s="65"/>
      <c r="X8933" s="104"/>
      <c r="Y8933" s="54"/>
      <c r="Z8933" s="66"/>
    </row>
    <row r="8934" spans="23:26" x14ac:dyDescent="0.25">
      <c r="W8934" s="65"/>
      <c r="X8934" s="104"/>
      <c r="Y8934" s="54"/>
      <c r="Z8934" s="66"/>
    </row>
    <row r="8935" spans="23:26" x14ac:dyDescent="0.25">
      <c r="W8935" s="65"/>
      <c r="X8935" s="104"/>
      <c r="Y8935" s="54"/>
      <c r="Z8935" s="66"/>
    </row>
    <row r="8936" spans="23:26" x14ac:dyDescent="0.25">
      <c r="W8936" s="65"/>
      <c r="X8936" s="104"/>
      <c r="Y8936" s="54"/>
      <c r="Z8936" s="66"/>
    </row>
    <row r="8937" spans="23:26" x14ac:dyDescent="0.25">
      <c r="W8937" s="65"/>
      <c r="X8937" s="104"/>
      <c r="Y8937" s="54"/>
      <c r="Z8937" s="66"/>
    </row>
    <row r="8938" spans="23:26" x14ac:dyDescent="0.25">
      <c r="W8938" s="65"/>
      <c r="X8938" s="104"/>
      <c r="Y8938" s="54"/>
      <c r="Z8938" s="66"/>
    </row>
    <row r="8939" spans="23:26" x14ac:dyDescent="0.25">
      <c r="W8939" s="65"/>
      <c r="X8939" s="104"/>
      <c r="Y8939" s="54"/>
      <c r="Z8939" s="66"/>
    </row>
    <row r="8940" spans="23:26" x14ac:dyDescent="0.25">
      <c r="W8940" s="65"/>
      <c r="X8940" s="104"/>
      <c r="Y8940" s="54"/>
      <c r="Z8940" s="66"/>
    </row>
    <row r="8941" spans="23:26" x14ac:dyDescent="0.25">
      <c r="W8941" s="65"/>
      <c r="X8941" s="104"/>
      <c r="Y8941" s="54"/>
      <c r="Z8941" s="66"/>
    </row>
    <row r="8942" spans="23:26" x14ac:dyDescent="0.25">
      <c r="W8942" s="65"/>
      <c r="X8942" s="104"/>
      <c r="Y8942" s="54"/>
      <c r="Z8942" s="66"/>
    </row>
    <row r="8943" spans="23:26" x14ac:dyDescent="0.25">
      <c r="W8943" s="65"/>
      <c r="X8943" s="104"/>
      <c r="Y8943" s="54"/>
      <c r="Z8943" s="66"/>
    </row>
    <row r="8944" spans="23:26" x14ac:dyDescent="0.25">
      <c r="W8944" s="65"/>
      <c r="X8944" s="104"/>
      <c r="Y8944" s="54"/>
      <c r="Z8944" s="66"/>
    </row>
    <row r="8945" spans="23:26" x14ac:dyDescent="0.25">
      <c r="W8945" s="65"/>
      <c r="X8945" s="104"/>
      <c r="Y8945" s="54"/>
      <c r="Z8945" s="66"/>
    </row>
    <row r="8946" spans="23:26" x14ac:dyDescent="0.25">
      <c r="W8946" s="65"/>
      <c r="X8946" s="104"/>
      <c r="Y8946" s="54"/>
      <c r="Z8946" s="66"/>
    </row>
    <row r="8947" spans="23:26" x14ac:dyDescent="0.25">
      <c r="W8947" s="65"/>
      <c r="X8947" s="104"/>
      <c r="Y8947" s="54"/>
      <c r="Z8947" s="66"/>
    </row>
    <row r="8948" spans="23:26" x14ac:dyDescent="0.25">
      <c r="W8948" s="65"/>
      <c r="X8948" s="104"/>
      <c r="Y8948" s="54"/>
      <c r="Z8948" s="66"/>
    </row>
    <row r="8949" spans="23:26" x14ac:dyDescent="0.25">
      <c r="W8949" s="65"/>
      <c r="X8949" s="104"/>
      <c r="Y8949" s="54"/>
      <c r="Z8949" s="66"/>
    </row>
    <row r="8950" spans="23:26" x14ac:dyDescent="0.25">
      <c r="W8950" s="65"/>
      <c r="X8950" s="104"/>
      <c r="Y8950" s="54"/>
      <c r="Z8950" s="66"/>
    </row>
    <row r="8951" spans="23:26" x14ac:dyDescent="0.25">
      <c r="W8951" s="65"/>
      <c r="X8951" s="104"/>
      <c r="Y8951" s="54"/>
      <c r="Z8951" s="66"/>
    </row>
    <row r="8952" spans="23:26" x14ac:dyDescent="0.25">
      <c r="W8952" s="65"/>
      <c r="X8952" s="104"/>
      <c r="Y8952" s="54"/>
      <c r="Z8952" s="66"/>
    </row>
    <row r="8953" spans="23:26" x14ac:dyDescent="0.25">
      <c r="W8953" s="65"/>
      <c r="X8953" s="104"/>
      <c r="Y8953" s="54"/>
      <c r="Z8953" s="66"/>
    </row>
    <row r="8954" spans="23:26" x14ac:dyDescent="0.25">
      <c r="W8954" s="65"/>
      <c r="X8954" s="104"/>
      <c r="Y8954" s="54"/>
      <c r="Z8954" s="66"/>
    </row>
    <row r="8955" spans="23:26" x14ac:dyDescent="0.25">
      <c r="W8955" s="65"/>
      <c r="X8955" s="104"/>
      <c r="Y8955" s="54"/>
      <c r="Z8955" s="66"/>
    </row>
    <row r="8956" spans="23:26" x14ac:dyDescent="0.25">
      <c r="W8956" s="65"/>
      <c r="X8956" s="104"/>
      <c r="Y8956" s="54"/>
      <c r="Z8956" s="66"/>
    </row>
    <row r="8957" spans="23:26" x14ac:dyDescent="0.25">
      <c r="W8957" s="65"/>
      <c r="X8957" s="104"/>
      <c r="Y8957" s="54"/>
      <c r="Z8957" s="66"/>
    </row>
    <row r="8958" spans="23:26" x14ac:dyDescent="0.25">
      <c r="W8958" s="65"/>
      <c r="X8958" s="104"/>
      <c r="Y8958" s="54"/>
      <c r="Z8958" s="66"/>
    </row>
    <row r="8959" spans="23:26" x14ac:dyDescent="0.25">
      <c r="W8959" s="65"/>
      <c r="X8959" s="104"/>
      <c r="Y8959" s="54"/>
      <c r="Z8959" s="66"/>
    </row>
    <row r="8960" spans="23:26" x14ac:dyDescent="0.25">
      <c r="W8960" s="65"/>
      <c r="X8960" s="104"/>
      <c r="Y8960" s="54"/>
      <c r="Z8960" s="66"/>
    </row>
    <row r="8961" spans="23:26" x14ac:dyDescent="0.25">
      <c r="W8961" s="65"/>
      <c r="X8961" s="104"/>
      <c r="Y8961" s="54"/>
      <c r="Z8961" s="66"/>
    </row>
    <row r="8962" spans="23:26" x14ac:dyDescent="0.25">
      <c r="W8962" s="65"/>
      <c r="X8962" s="104"/>
      <c r="Y8962" s="54"/>
      <c r="Z8962" s="66"/>
    </row>
    <row r="8963" spans="23:26" x14ac:dyDescent="0.25">
      <c r="W8963" s="65"/>
      <c r="X8963" s="104"/>
      <c r="Y8963" s="54"/>
      <c r="Z8963" s="66"/>
    </row>
    <row r="8964" spans="23:26" x14ac:dyDescent="0.25">
      <c r="W8964" s="65"/>
      <c r="X8964" s="104"/>
      <c r="Y8964" s="54"/>
      <c r="Z8964" s="66"/>
    </row>
    <row r="8965" spans="23:26" x14ac:dyDescent="0.25">
      <c r="W8965" s="65"/>
      <c r="X8965" s="104"/>
      <c r="Y8965" s="54"/>
      <c r="Z8965" s="66"/>
    </row>
    <row r="8966" spans="23:26" x14ac:dyDescent="0.25">
      <c r="W8966" s="65"/>
      <c r="X8966" s="104"/>
      <c r="Y8966" s="54"/>
      <c r="Z8966" s="66"/>
    </row>
    <row r="8967" spans="23:26" x14ac:dyDescent="0.25">
      <c r="W8967" s="65"/>
      <c r="X8967" s="104"/>
      <c r="Y8967" s="54"/>
      <c r="Z8967" s="66"/>
    </row>
    <row r="8968" spans="23:26" x14ac:dyDescent="0.25">
      <c r="W8968" s="65"/>
      <c r="X8968" s="104"/>
      <c r="Y8968" s="54"/>
      <c r="Z8968" s="66"/>
    </row>
    <row r="8969" spans="23:26" x14ac:dyDescent="0.25">
      <c r="W8969" s="65"/>
      <c r="X8969" s="104"/>
      <c r="Y8969" s="54"/>
      <c r="Z8969" s="66"/>
    </row>
    <row r="8970" spans="23:26" x14ac:dyDescent="0.25">
      <c r="W8970" s="65"/>
      <c r="X8970" s="104"/>
      <c r="Y8970" s="54"/>
      <c r="Z8970" s="66"/>
    </row>
    <row r="8971" spans="23:26" x14ac:dyDescent="0.25">
      <c r="W8971" s="65"/>
      <c r="X8971" s="104"/>
      <c r="Y8971" s="54"/>
      <c r="Z8971" s="66"/>
    </row>
    <row r="8972" spans="23:26" x14ac:dyDescent="0.25">
      <c r="W8972" s="65"/>
      <c r="X8972" s="104"/>
      <c r="Y8972" s="54"/>
      <c r="Z8972" s="66"/>
    </row>
    <row r="8973" spans="23:26" x14ac:dyDescent="0.25">
      <c r="W8973" s="65"/>
      <c r="X8973" s="104"/>
      <c r="Y8973" s="54"/>
      <c r="Z8973" s="66"/>
    </row>
    <row r="8974" spans="23:26" x14ac:dyDescent="0.25">
      <c r="W8974" s="65"/>
      <c r="X8974" s="104"/>
      <c r="Y8974" s="54"/>
      <c r="Z8974" s="66"/>
    </row>
    <row r="8975" spans="23:26" x14ac:dyDescent="0.25">
      <c r="W8975" s="65"/>
      <c r="X8975" s="104"/>
      <c r="Y8975" s="54"/>
      <c r="Z8975" s="66"/>
    </row>
    <row r="8976" spans="23:26" x14ac:dyDescent="0.25">
      <c r="W8976" s="65"/>
      <c r="X8976" s="104"/>
      <c r="Y8976" s="54"/>
      <c r="Z8976" s="66"/>
    </row>
    <row r="8977" spans="23:26" x14ac:dyDescent="0.25">
      <c r="W8977" s="65"/>
      <c r="X8977" s="104"/>
      <c r="Y8977" s="54"/>
      <c r="Z8977" s="66"/>
    </row>
    <row r="8978" spans="23:26" x14ac:dyDescent="0.25">
      <c r="W8978" s="65"/>
      <c r="X8978" s="104"/>
      <c r="Y8978" s="54"/>
      <c r="Z8978" s="66"/>
    </row>
    <row r="8979" spans="23:26" x14ac:dyDescent="0.25">
      <c r="W8979" s="65"/>
      <c r="X8979" s="104"/>
      <c r="Y8979" s="54"/>
      <c r="Z8979" s="66"/>
    </row>
  </sheetData>
  <autoFilter ref="A1:BV24" xr:uid="{00000000-0009-0000-0000-000002000000}">
    <filterColumn colId="23" showButton="0"/>
    <filterColumn colId="24" showButton="0"/>
  </autoFilter>
  <mergeCells count="46">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s>
  <phoneticPr fontId="12" type="noConversion"/>
  <dataValidations disablePrompts="1"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35" t="s">
        <v>154</v>
      </c>
      <c r="C4" s="135"/>
      <c r="D4" s="26" t="s">
        <v>59</v>
      </c>
      <c r="E4" s="25" t="s">
        <v>155</v>
      </c>
    </row>
    <row r="5" spans="1:5" ht="38.25" customHeight="1" x14ac:dyDescent="0.25">
      <c r="A5" s="127" t="s">
        <v>156</v>
      </c>
      <c r="B5" s="127" t="s">
        <v>157</v>
      </c>
      <c r="C5" s="127"/>
      <c r="D5" s="28" t="s">
        <v>158</v>
      </c>
      <c r="E5" s="29" t="s">
        <v>159</v>
      </c>
    </row>
    <row r="6" spans="1:5" x14ac:dyDescent="0.25">
      <c r="A6" s="127"/>
      <c r="B6" s="127"/>
      <c r="C6" s="127"/>
      <c r="D6" s="28"/>
      <c r="E6" s="30"/>
    </row>
    <row r="7" spans="1:5" x14ac:dyDescent="0.25">
      <c r="A7" s="127"/>
      <c r="B7" s="127"/>
      <c r="C7" s="127"/>
      <c r="D7" s="28" t="s">
        <v>160</v>
      </c>
      <c r="E7" s="30" t="s">
        <v>161</v>
      </c>
    </row>
    <row r="8" spans="1:5" x14ac:dyDescent="0.25">
      <c r="A8" s="127"/>
      <c r="B8" s="127"/>
      <c r="C8" s="127"/>
      <c r="D8" s="28" t="s">
        <v>162</v>
      </c>
      <c r="E8" s="28" t="s">
        <v>162</v>
      </c>
    </row>
    <row r="9" spans="1:5" x14ac:dyDescent="0.25">
      <c r="A9" s="127"/>
      <c r="B9" s="127"/>
      <c r="C9" s="127"/>
      <c r="D9" s="28" t="s">
        <v>163</v>
      </c>
      <c r="E9" s="28" t="s">
        <v>163</v>
      </c>
    </row>
    <row r="10" spans="1:5" x14ac:dyDescent="0.25">
      <c r="A10" s="127"/>
      <c r="B10" s="127"/>
      <c r="C10" s="127"/>
      <c r="D10" s="28" t="s">
        <v>164</v>
      </c>
      <c r="E10" s="28" t="s">
        <v>164</v>
      </c>
    </row>
    <row r="11" spans="1:5" x14ac:dyDescent="0.25">
      <c r="A11" s="127"/>
      <c r="B11" s="127"/>
      <c r="C11" s="127"/>
      <c r="D11" s="31" t="s">
        <v>165</v>
      </c>
      <c r="E11" s="31" t="s">
        <v>165</v>
      </c>
    </row>
    <row r="12" spans="1:5" ht="39" customHeight="1" x14ac:dyDescent="0.25">
      <c r="A12" s="32" t="s">
        <v>156</v>
      </c>
      <c r="B12" s="127" t="s">
        <v>166</v>
      </c>
      <c r="C12" s="31" t="s">
        <v>103</v>
      </c>
      <c r="D12" s="31" t="s">
        <v>167</v>
      </c>
      <c r="E12" s="27" t="s">
        <v>168</v>
      </c>
    </row>
    <row r="13" spans="1:5" ht="38.25" x14ac:dyDescent="0.25">
      <c r="A13" s="32" t="s">
        <v>156</v>
      </c>
      <c r="B13" s="127"/>
      <c r="C13" s="31" t="s">
        <v>104</v>
      </c>
      <c r="D13" s="31" t="s">
        <v>169</v>
      </c>
      <c r="E13" s="27" t="s">
        <v>170</v>
      </c>
    </row>
    <row r="14" spans="1:5" ht="38.25" x14ac:dyDescent="0.25">
      <c r="A14" s="32" t="s">
        <v>156</v>
      </c>
      <c r="B14" s="127"/>
      <c r="C14" s="31" t="s">
        <v>105</v>
      </c>
      <c r="D14" s="31" t="s">
        <v>171</v>
      </c>
      <c r="E14" s="27" t="s">
        <v>172</v>
      </c>
    </row>
    <row r="15" spans="1:5" ht="38.25" x14ac:dyDescent="0.25">
      <c r="A15" s="32" t="s">
        <v>156</v>
      </c>
      <c r="B15" s="127"/>
      <c r="C15" s="31" t="s">
        <v>106</v>
      </c>
      <c r="D15" s="31" t="s">
        <v>173</v>
      </c>
      <c r="E15" s="27" t="s">
        <v>174</v>
      </c>
    </row>
    <row r="16" spans="1:5" ht="38.25" x14ac:dyDescent="0.25">
      <c r="A16" s="32" t="s">
        <v>156</v>
      </c>
      <c r="B16" s="127"/>
      <c r="C16" s="31" t="s">
        <v>107</v>
      </c>
      <c r="D16" s="31" t="s">
        <v>175</v>
      </c>
      <c r="E16" s="27" t="s">
        <v>176</v>
      </c>
    </row>
    <row r="17" spans="1:5" ht="26.25" customHeight="1" x14ac:dyDescent="0.25">
      <c r="A17" s="32" t="s">
        <v>156</v>
      </c>
      <c r="B17" s="127" t="s">
        <v>68</v>
      </c>
      <c r="C17" s="127"/>
      <c r="D17" s="31" t="s">
        <v>177</v>
      </c>
      <c r="E17" s="27" t="s">
        <v>178</v>
      </c>
    </row>
    <row r="18" spans="1:5" ht="26.25" customHeight="1" x14ac:dyDescent="0.25">
      <c r="A18" s="32" t="s">
        <v>179</v>
      </c>
      <c r="B18" s="127" t="s">
        <v>3</v>
      </c>
      <c r="C18" s="127"/>
      <c r="D18" s="31" t="s">
        <v>180</v>
      </c>
      <c r="E18" s="27" t="s">
        <v>181</v>
      </c>
    </row>
    <row r="19" spans="1:5" ht="13.5" customHeight="1" x14ac:dyDescent="0.25">
      <c r="A19" s="32" t="s">
        <v>179</v>
      </c>
      <c r="B19" s="127" t="s">
        <v>182</v>
      </c>
      <c r="C19" s="127"/>
      <c r="D19" s="31" t="s">
        <v>183</v>
      </c>
      <c r="E19" s="33" t="s">
        <v>184</v>
      </c>
    </row>
    <row r="20" spans="1:5" ht="13.5" customHeight="1" x14ac:dyDescent="0.25">
      <c r="A20" s="32" t="s">
        <v>179</v>
      </c>
      <c r="B20" s="127" t="s">
        <v>185</v>
      </c>
      <c r="C20" s="127"/>
      <c r="D20" s="31" t="s">
        <v>186</v>
      </c>
      <c r="E20" s="33" t="s">
        <v>187</v>
      </c>
    </row>
    <row r="21" spans="1:5" ht="13.5" customHeight="1" x14ac:dyDescent="0.25">
      <c r="A21" s="32" t="s">
        <v>179</v>
      </c>
      <c r="B21" s="127" t="s">
        <v>188</v>
      </c>
      <c r="C21" s="127"/>
      <c r="D21" s="31" t="s">
        <v>189</v>
      </c>
      <c r="E21" s="33" t="s">
        <v>190</v>
      </c>
    </row>
    <row r="22" spans="1:5" ht="13.5" customHeight="1" x14ac:dyDescent="0.25">
      <c r="A22" s="32" t="s">
        <v>179</v>
      </c>
      <c r="B22" s="127" t="s">
        <v>191</v>
      </c>
      <c r="C22" s="127"/>
      <c r="D22" s="31" t="s">
        <v>192</v>
      </c>
      <c r="E22" s="27" t="s">
        <v>193</v>
      </c>
    </row>
    <row r="23" spans="1:5" ht="12.75" customHeight="1" x14ac:dyDescent="0.25">
      <c r="A23" s="127" t="s">
        <v>156</v>
      </c>
      <c r="B23" s="127" t="s">
        <v>96</v>
      </c>
      <c r="C23" s="127"/>
      <c r="D23" s="28" t="s">
        <v>194</v>
      </c>
      <c r="E23" s="34" t="s">
        <v>195</v>
      </c>
    </row>
    <row r="24" spans="1:5" x14ac:dyDescent="0.25">
      <c r="A24" s="127"/>
      <c r="B24" s="127"/>
      <c r="C24" s="127"/>
      <c r="D24" s="28" t="s">
        <v>196</v>
      </c>
      <c r="E24" s="30" t="s">
        <v>197</v>
      </c>
    </row>
    <row r="25" spans="1:5" x14ac:dyDescent="0.25">
      <c r="A25" s="127"/>
      <c r="B25" s="127"/>
      <c r="C25" s="127"/>
      <c r="D25" s="28" t="s">
        <v>198</v>
      </c>
      <c r="E25" s="28" t="s">
        <v>198</v>
      </c>
    </row>
    <row r="26" spans="1:5" x14ac:dyDescent="0.25">
      <c r="A26" s="127"/>
      <c r="B26" s="127"/>
      <c r="C26" s="127"/>
      <c r="D26" s="28" t="s">
        <v>199</v>
      </c>
      <c r="E26" s="28" t="s">
        <v>199</v>
      </c>
    </row>
    <row r="27" spans="1:5" x14ac:dyDescent="0.25">
      <c r="A27" s="127"/>
      <c r="B27" s="127"/>
      <c r="C27" s="127"/>
      <c r="D27" s="28" t="s">
        <v>200</v>
      </c>
      <c r="E27" s="28" t="s">
        <v>200</v>
      </c>
    </row>
    <row r="28" spans="1:5" x14ac:dyDescent="0.25">
      <c r="A28" s="127"/>
      <c r="B28" s="127"/>
      <c r="C28" s="127"/>
      <c r="D28" s="28" t="s">
        <v>201</v>
      </c>
      <c r="E28" s="28" t="s">
        <v>201</v>
      </c>
    </row>
    <row r="29" spans="1:5" x14ac:dyDescent="0.25">
      <c r="A29" s="127"/>
      <c r="B29" s="127"/>
      <c r="C29" s="127"/>
      <c r="D29" s="28" t="s">
        <v>202</v>
      </c>
      <c r="E29" s="28" t="s">
        <v>202</v>
      </c>
    </row>
    <row r="30" spans="1:5" x14ac:dyDescent="0.25">
      <c r="A30" s="127"/>
      <c r="B30" s="127"/>
      <c r="C30" s="127"/>
      <c r="D30" s="28" t="s">
        <v>203</v>
      </c>
      <c r="E30" s="28" t="s">
        <v>203</v>
      </c>
    </row>
    <row r="31" spans="1:5" x14ac:dyDescent="0.25">
      <c r="A31" s="127"/>
      <c r="B31" s="127"/>
      <c r="C31" s="127"/>
      <c r="D31" s="28" t="s">
        <v>204</v>
      </c>
      <c r="E31" s="28" t="s">
        <v>204</v>
      </c>
    </row>
    <row r="32" spans="1:5" x14ac:dyDescent="0.25">
      <c r="A32" s="127"/>
      <c r="B32" s="127"/>
      <c r="C32" s="127"/>
      <c r="D32" s="28" t="s">
        <v>205</v>
      </c>
      <c r="E32" s="28" t="s">
        <v>205</v>
      </c>
    </row>
    <row r="33" spans="1:5" x14ac:dyDescent="0.25">
      <c r="A33" s="127"/>
      <c r="B33" s="127"/>
      <c r="C33" s="127"/>
      <c r="D33" s="28" t="s">
        <v>206</v>
      </c>
      <c r="E33" s="28" t="s">
        <v>207</v>
      </c>
    </row>
    <row r="34" spans="1:5" x14ac:dyDescent="0.25">
      <c r="A34" s="127"/>
      <c r="B34" s="127"/>
      <c r="C34" s="127"/>
      <c r="D34" s="28"/>
      <c r="E34" s="30"/>
    </row>
    <row r="35" spans="1:5" ht="25.5" x14ac:dyDescent="0.25">
      <c r="A35" s="127"/>
      <c r="B35" s="127"/>
      <c r="C35" s="127"/>
      <c r="D35" s="28" t="s">
        <v>208</v>
      </c>
      <c r="E35" s="30" t="s">
        <v>209</v>
      </c>
    </row>
    <row r="36" spans="1:5" x14ac:dyDescent="0.25">
      <c r="A36" s="127"/>
      <c r="B36" s="127"/>
      <c r="C36" s="127"/>
      <c r="D36" s="31" t="s">
        <v>210</v>
      </c>
      <c r="E36" s="35" t="s">
        <v>211</v>
      </c>
    </row>
    <row r="37" spans="1:5" ht="15.75" customHeight="1" x14ac:dyDescent="0.25">
      <c r="A37" s="32" t="s">
        <v>156</v>
      </c>
      <c r="B37" s="128" t="s">
        <v>70</v>
      </c>
      <c r="C37" s="128"/>
      <c r="D37" s="31" t="s">
        <v>212</v>
      </c>
      <c r="E37" s="33" t="s">
        <v>213</v>
      </c>
    </row>
    <row r="38" spans="1:5" ht="26.25" customHeight="1" x14ac:dyDescent="0.25">
      <c r="A38" s="32" t="s">
        <v>156</v>
      </c>
      <c r="B38" s="127" t="s">
        <v>48</v>
      </c>
      <c r="C38" s="127"/>
      <c r="D38" s="31" t="s">
        <v>214</v>
      </c>
      <c r="E38" s="27" t="s">
        <v>215</v>
      </c>
    </row>
    <row r="39" spans="1:5" ht="26.25" customHeight="1" x14ac:dyDescent="0.25">
      <c r="A39" s="32" t="s">
        <v>156</v>
      </c>
      <c r="B39" s="127" t="s">
        <v>59</v>
      </c>
      <c r="C39" s="127"/>
      <c r="D39" s="31" t="s">
        <v>216</v>
      </c>
      <c r="E39" s="27" t="s">
        <v>217</v>
      </c>
    </row>
    <row r="40" spans="1:5" ht="12.75" customHeight="1" x14ac:dyDescent="0.25">
      <c r="A40" s="127" t="s">
        <v>156</v>
      </c>
      <c r="B40" s="127" t="s">
        <v>50</v>
      </c>
      <c r="C40" s="127"/>
      <c r="D40" s="28" t="s">
        <v>218</v>
      </c>
      <c r="E40" s="34" t="s">
        <v>219</v>
      </c>
    </row>
    <row r="41" spans="1:5" x14ac:dyDescent="0.25">
      <c r="A41" s="127"/>
      <c r="B41" s="127"/>
      <c r="C41" s="127"/>
      <c r="D41" s="28" t="s">
        <v>220</v>
      </c>
      <c r="E41" s="30" t="s">
        <v>221</v>
      </c>
    </row>
    <row r="42" spans="1:5" x14ac:dyDescent="0.25">
      <c r="A42" s="127"/>
      <c r="B42" s="127"/>
      <c r="C42" s="127"/>
      <c r="D42" s="28" t="s">
        <v>222</v>
      </c>
      <c r="E42" s="30" t="s">
        <v>223</v>
      </c>
    </row>
    <row r="43" spans="1:5" x14ac:dyDescent="0.25">
      <c r="A43" s="127"/>
      <c r="B43" s="127"/>
      <c r="C43" s="127"/>
      <c r="D43" s="28" t="s">
        <v>224</v>
      </c>
      <c r="E43" s="30" t="s">
        <v>225</v>
      </c>
    </row>
    <row r="44" spans="1:5" x14ac:dyDescent="0.25">
      <c r="A44" s="127"/>
      <c r="B44" s="127"/>
      <c r="C44" s="127"/>
      <c r="D44" s="28" t="s">
        <v>226</v>
      </c>
      <c r="E44" s="30" t="s">
        <v>226</v>
      </c>
    </row>
    <row r="45" spans="1:5" ht="26.25" customHeight="1" x14ac:dyDescent="0.25">
      <c r="A45" s="32" t="s">
        <v>156</v>
      </c>
      <c r="B45" s="127" t="s">
        <v>78</v>
      </c>
      <c r="C45" s="127"/>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2" t="s">
        <v>237</v>
      </c>
      <c r="C49" s="31" t="s">
        <v>56</v>
      </c>
      <c r="D49" s="31" t="s">
        <v>238</v>
      </c>
      <c r="E49" s="27" t="s">
        <v>239</v>
      </c>
    </row>
    <row r="50" spans="1:5" ht="12.75" customHeight="1" x14ac:dyDescent="0.25">
      <c r="A50" s="127" t="s">
        <v>156</v>
      </c>
      <c r="B50" s="132"/>
      <c r="C50" s="133" t="s">
        <v>108</v>
      </c>
      <c r="D50" s="40" t="s">
        <v>240</v>
      </c>
      <c r="E50" s="34" t="s">
        <v>241</v>
      </c>
    </row>
    <row r="51" spans="1:5" x14ac:dyDescent="0.25">
      <c r="A51" s="127"/>
      <c r="B51" s="132"/>
      <c r="C51" s="133"/>
      <c r="D51" s="30" t="s">
        <v>242</v>
      </c>
      <c r="E51" s="30" t="s">
        <v>243</v>
      </c>
    </row>
    <row r="52" spans="1:5" x14ac:dyDescent="0.25">
      <c r="A52" s="127"/>
      <c r="B52" s="132"/>
      <c r="C52" s="133"/>
      <c r="D52" s="30" t="s">
        <v>244</v>
      </c>
      <c r="E52" s="30" t="s">
        <v>245</v>
      </c>
    </row>
    <row r="53" spans="1:5" x14ac:dyDescent="0.25">
      <c r="A53" s="127"/>
      <c r="B53" s="132"/>
      <c r="C53" s="133"/>
      <c r="D53" s="30" t="s">
        <v>246</v>
      </c>
      <c r="E53" s="30" t="s">
        <v>247</v>
      </c>
    </row>
    <row r="54" spans="1:5" x14ac:dyDescent="0.25">
      <c r="A54" s="127"/>
      <c r="B54" s="132"/>
      <c r="C54" s="133"/>
      <c r="D54" s="28"/>
      <c r="E54" s="30"/>
    </row>
    <row r="55" spans="1:5" ht="25.5" x14ac:dyDescent="0.25">
      <c r="A55" s="127"/>
      <c r="B55" s="132"/>
      <c r="C55" s="133"/>
      <c r="D55" s="31" t="s">
        <v>248</v>
      </c>
      <c r="E55" s="32" t="s">
        <v>249</v>
      </c>
    </row>
    <row r="56" spans="1:5" ht="12.75" customHeight="1" x14ac:dyDescent="0.25">
      <c r="A56" s="127" t="s">
        <v>156</v>
      </c>
      <c r="B56" s="132"/>
      <c r="C56" s="134" t="s">
        <v>109</v>
      </c>
      <c r="D56" s="28" t="s">
        <v>250</v>
      </c>
      <c r="E56" s="34" t="s">
        <v>251</v>
      </c>
    </row>
    <row r="57" spans="1:5" x14ac:dyDescent="0.25">
      <c r="A57" s="127"/>
      <c r="B57" s="132"/>
      <c r="C57" s="134"/>
      <c r="D57" s="28" t="s">
        <v>252</v>
      </c>
      <c r="E57" s="30" t="s">
        <v>253</v>
      </c>
    </row>
    <row r="58" spans="1:5" x14ac:dyDescent="0.25">
      <c r="A58" s="127"/>
      <c r="B58" s="132"/>
      <c r="C58" s="134"/>
      <c r="D58" s="31" t="s">
        <v>254</v>
      </c>
      <c r="E58" s="35" t="s">
        <v>255</v>
      </c>
    </row>
    <row r="59" spans="1:5" ht="51.75" customHeight="1" x14ac:dyDescent="0.25">
      <c r="A59" s="32" t="s">
        <v>156</v>
      </c>
      <c r="B59" s="127" t="s">
        <v>76</v>
      </c>
      <c r="C59" s="127"/>
      <c r="D59" s="31" t="s">
        <v>256</v>
      </c>
      <c r="E59" s="36" t="s">
        <v>257</v>
      </c>
    </row>
    <row r="60" spans="1:5" ht="26.25" customHeight="1" x14ac:dyDescent="0.25">
      <c r="A60" s="32" t="s">
        <v>156</v>
      </c>
      <c r="B60" s="131" t="s">
        <v>82</v>
      </c>
      <c r="C60" s="31" t="s">
        <v>56</v>
      </c>
      <c r="D60" s="31" t="s">
        <v>238</v>
      </c>
      <c r="E60" s="27" t="s">
        <v>239</v>
      </c>
    </row>
    <row r="61" spans="1:5" ht="12.75" customHeight="1" x14ac:dyDescent="0.25">
      <c r="A61" s="127" t="s">
        <v>156</v>
      </c>
      <c r="B61" s="131"/>
      <c r="C61" s="127" t="s">
        <v>108</v>
      </c>
      <c r="D61" s="40" t="s">
        <v>240</v>
      </c>
      <c r="E61" s="34" t="s">
        <v>241</v>
      </c>
    </row>
    <row r="62" spans="1:5" x14ac:dyDescent="0.25">
      <c r="A62" s="127"/>
      <c r="B62" s="127"/>
      <c r="C62" s="127"/>
      <c r="D62" s="30" t="s">
        <v>242</v>
      </c>
      <c r="E62" s="30" t="s">
        <v>243</v>
      </c>
    </row>
    <row r="63" spans="1:5" x14ac:dyDescent="0.25">
      <c r="A63" s="127"/>
      <c r="B63" s="127"/>
      <c r="C63" s="127"/>
      <c r="D63" s="30" t="s">
        <v>244</v>
      </c>
      <c r="E63" s="30" t="s">
        <v>245</v>
      </c>
    </row>
    <row r="64" spans="1:5" x14ac:dyDescent="0.25">
      <c r="A64" s="127"/>
      <c r="B64" s="127"/>
      <c r="C64" s="127"/>
      <c r="D64" s="30" t="s">
        <v>246</v>
      </c>
      <c r="E64" s="30" t="s">
        <v>247</v>
      </c>
    </row>
    <row r="65" spans="1:5" x14ac:dyDescent="0.25">
      <c r="A65" s="127"/>
      <c r="B65" s="127"/>
      <c r="C65" s="127"/>
      <c r="D65" s="28"/>
      <c r="E65" s="30"/>
    </row>
    <row r="66" spans="1:5" ht="25.5" x14ac:dyDescent="0.25">
      <c r="A66" s="127"/>
      <c r="B66" s="131"/>
      <c r="C66" s="127"/>
      <c r="D66" s="31" t="s">
        <v>248</v>
      </c>
      <c r="E66" s="32" t="s">
        <v>249</v>
      </c>
    </row>
    <row r="67" spans="1:5" ht="12.75" customHeight="1" x14ac:dyDescent="0.25">
      <c r="A67" s="127" t="s">
        <v>156</v>
      </c>
      <c r="B67" s="131"/>
      <c r="C67" s="127" t="s">
        <v>109</v>
      </c>
      <c r="D67" s="28" t="s">
        <v>250</v>
      </c>
      <c r="E67" s="34" t="s">
        <v>251</v>
      </c>
    </row>
    <row r="68" spans="1:5" x14ac:dyDescent="0.25">
      <c r="A68" s="127"/>
      <c r="B68" s="127"/>
      <c r="C68" s="127"/>
      <c r="D68" s="28" t="s">
        <v>252</v>
      </c>
      <c r="E68" s="30" t="s">
        <v>253</v>
      </c>
    </row>
    <row r="69" spans="1:5" x14ac:dyDescent="0.25">
      <c r="A69" s="127"/>
      <c r="B69" s="131"/>
      <c r="C69" s="127"/>
      <c r="D69" s="31" t="s">
        <v>254</v>
      </c>
      <c r="E69" s="35" t="s">
        <v>255</v>
      </c>
    </row>
    <row r="70" spans="1:5" ht="26.25" customHeight="1" x14ac:dyDescent="0.25">
      <c r="A70" s="32" t="s">
        <v>156</v>
      </c>
      <c r="B70" s="131" t="s">
        <v>81</v>
      </c>
      <c r="C70" s="31" t="s">
        <v>56</v>
      </c>
      <c r="D70" s="31" t="s">
        <v>238</v>
      </c>
      <c r="E70" s="27" t="s">
        <v>239</v>
      </c>
    </row>
    <row r="71" spans="1:5" ht="12.75" customHeight="1" x14ac:dyDescent="0.25">
      <c r="A71" s="127" t="s">
        <v>156</v>
      </c>
      <c r="B71" s="131"/>
      <c r="C71" s="127" t="s">
        <v>108</v>
      </c>
      <c r="D71" s="40" t="s">
        <v>240</v>
      </c>
      <c r="E71" s="34" t="s">
        <v>241</v>
      </c>
    </row>
    <row r="72" spans="1:5" x14ac:dyDescent="0.25">
      <c r="A72" s="127"/>
      <c r="B72" s="127"/>
      <c r="C72" s="127"/>
      <c r="D72" s="30" t="s">
        <v>242</v>
      </c>
      <c r="E72" s="30" t="s">
        <v>243</v>
      </c>
    </row>
    <row r="73" spans="1:5" x14ac:dyDescent="0.25">
      <c r="A73" s="127"/>
      <c r="B73" s="127"/>
      <c r="C73" s="127"/>
      <c r="D73" s="30" t="s">
        <v>244</v>
      </c>
      <c r="E73" s="30" t="s">
        <v>245</v>
      </c>
    </row>
    <row r="74" spans="1:5" x14ac:dyDescent="0.25">
      <c r="A74" s="127"/>
      <c r="B74" s="127"/>
      <c r="C74" s="127"/>
      <c r="D74" s="30" t="s">
        <v>246</v>
      </c>
      <c r="E74" s="30" t="s">
        <v>247</v>
      </c>
    </row>
    <row r="75" spans="1:5" x14ac:dyDescent="0.25">
      <c r="A75" s="127"/>
      <c r="B75" s="127"/>
      <c r="C75" s="127"/>
      <c r="D75" s="28"/>
      <c r="E75" s="30"/>
    </row>
    <row r="76" spans="1:5" ht="25.5" x14ac:dyDescent="0.25">
      <c r="A76" s="127"/>
      <c r="B76" s="131"/>
      <c r="C76" s="127"/>
      <c r="D76" s="31" t="s">
        <v>248</v>
      </c>
      <c r="E76" s="32" t="s">
        <v>249</v>
      </c>
    </row>
    <row r="77" spans="1:5" ht="12.75" customHeight="1" x14ac:dyDescent="0.25">
      <c r="A77" s="127" t="s">
        <v>156</v>
      </c>
      <c r="B77" s="131"/>
      <c r="C77" s="127" t="s">
        <v>109</v>
      </c>
      <c r="D77" s="28" t="s">
        <v>250</v>
      </c>
      <c r="E77" s="34" t="s">
        <v>251</v>
      </c>
    </row>
    <row r="78" spans="1:5" x14ac:dyDescent="0.25">
      <c r="A78" s="127"/>
      <c r="B78" s="127"/>
      <c r="C78" s="127"/>
      <c r="D78" s="28" t="s">
        <v>252</v>
      </c>
      <c r="E78" s="30" t="s">
        <v>253</v>
      </c>
    </row>
    <row r="79" spans="1:5" x14ac:dyDescent="0.25">
      <c r="A79" s="127"/>
      <c r="B79" s="131"/>
      <c r="C79" s="127"/>
      <c r="D79" s="31" t="s">
        <v>254</v>
      </c>
      <c r="E79" s="35" t="s">
        <v>255</v>
      </c>
    </row>
    <row r="80" spans="1:5" ht="12.75" customHeight="1" x14ac:dyDescent="0.25">
      <c r="A80" s="127" t="s">
        <v>156</v>
      </c>
      <c r="B80" s="127" t="s">
        <v>258</v>
      </c>
      <c r="C80" s="127"/>
      <c r="D80" s="28" t="s">
        <v>259</v>
      </c>
      <c r="E80" s="34" t="s">
        <v>260</v>
      </c>
    </row>
    <row r="81" spans="1:5" x14ac:dyDescent="0.25">
      <c r="A81" s="127"/>
      <c r="B81" s="127"/>
      <c r="C81" s="127"/>
      <c r="D81" s="28" t="s">
        <v>261</v>
      </c>
      <c r="E81" s="30" t="s">
        <v>262</v>
      </c>
    </row>
    <row r="82" spans="1:5" x14ac:dyDescent="0.25">
      <c r="A82" s="127"/>
      <c r="B82" s="127"/>
      <c r="C82" s="127"/>
      <c r="D82" s="28" t="s">
        <v>263</v>
      </c>
      <c r="E82" s="30" t="s">
        <v>264</v>
      </c>
    </row>
    <row r="83" spans="1:5" x14ac:dyDescent="0.25">
      <c r="A83" s="127"/>
      <c r="B83" s="127"/>
      <c r="C83" s="127"/>
      <c r="D83" s="28" t="s">
        <v>265</v>
      </c>
      <c r="E83" s="30" t="s">
        <v>266</v>
      </c>
    </row>
    <row r="84" spans="1:5" x14ac:dyDescent="0.25">
      <c r="A84" s="127"/>
      <c r="B84" s="127"/>
      <c r="C84" s="127"/>
      <c r="D84" s="28" t="s">
        <v>267</v>
      </c>
      <c r="E84" s="30" t="s">
        <v>268</v>
      </c>
    </row>
    <row r="85" spans="1:5" x14ac:dyDescent="0.25">
      <c r="A85" s="127"/>
      <c r="B85" s="127"/>
      <c r="C85" s="127"/>
      <c r="D85" s="31" t="s">
        <v>269</v>
      </c>
      <c r="E85" s="35" t="s">
        <v>270</v>
      </c>
    </row>
    <row r="86" spans="1:5" ht="51.75" customHeight="1" x14ac:dyDescent="0.25">
      <c r="A86" s="32" t="s">
        <v>156</v>
      </c>
      <c r="B86" s="127" t="s">
        <v>74</v>
      </c>
      <c r="C86" s="127"/>
      <c r="D86" s="31" t="s">
        <v>271</v>
      </c>
      <c r="E86" s="27" t="s">
        <v>272</v>
      </c>
    </row>
    <row r="87" spans="1:5" ht="26.25" customHeight="1" x14ac:dyDescent="0.25">
      <c r="A87" s="32" t="s">
        <v>156</v>
      </c>
      <c r="B87" s="131" t="s">
        <v>83</v>
      </c>
      <c r="C87" s="31" t="s">
        <v>56</v>
      </c>
      <c r="D87" s="31" t="s">
        <v>238</v>
      </c>
      <c r="E87" s="27" t="s">
        <v>239</v>
      </c>
    </row>
    <row r="88" spans="1:5" ht="12.75" customHeight="1" x14ac:dyDescent="0.25">
      <c r="A88" s="127" t="s">
        <v>156</v>
      </c>
      <c r="B88" s="131"/>
      <c r="C88" s="127" t="s">
        <v>108</v>
      </c>
      <c r="D88" s="40" t="s">
        <v>240</v>
      </c>
      <c r="E88" s="34" t="s">
        <v>241</v>
      </c>
    </row>
    <row r="89" spans="1:5" x14ac:dyDescent="0.25">
      <c r="A89" s="127"/>
      <c r="B89" s="127"/>
      <c r="C89" s="127"/>
      <c r="D89" s="30" t="s">
        <v>242</v>
      </c>
      <c r="E89" s="30" t="s">
        <v>243</v>
      </c>
    </row>
    <row r="90" spans="1:5" x14ac:dyDescent="0.25">
      <c r="A90" s="127"/>
      <c r="B90" s="127"/>
      <c r="C90" s="127"/>
      <c r="D90" s="30" t="s">
        <v>244</v>
      </c>
      <c r="E90" s="30" t="s">
        <v>245</v>
      </c>
    </row>
    <row r="91" spans="1:5" x14ac:dyDescent="0.25">
      <c r="A91" s="127"/>
      <c r="B91" s="127"/>
      <c r="C91" s="127"/>
      <c r="D91" s="30" t="s">
        <v>246</v>
      </c>
      <c r="E91" s="30" t="s">
        <v>247</v>
      </c>
    </row>
    <row r="92" spans="1:5" x14ac:dyDescent="0.25">
      <c r="A92" s="127"/>
      <c r="B92" s="127"/>
      <c r="C92" s="127"/>
      <c r="D92" s="28"/>
      <c r="E92" s="30"/>
    </row>
    <row r="93" spans="1:5" ht="25.5" x14ac:dyDescent="0.25">
      <c r="A93" s="127"/>
      <c r="B93" s="131"/>
      <c r="C93" s="127"/>
      <c r="D93" s="31" t="s">
        <v>248</v>
      </c>
      <c r="E93" s="32" t="s">
        <v>249</v>
      </c>
    </row>
    <row r="94" spans="1:5" ht="12.75" customHeight="1" x14ac:dyDescent="0.25">
      <c r="A94" s="127" t="s">
        <v>156</v>
      </c>
      <c r="B94" s="131"/>
      <c r="C94" s="127" t="s">
        <v>109</v>
      </c>
      <c r="D94" s="28" t="s">
        <v>250</v>
      </c>
      <c r="E94" s="34" t="s">
        <v>251</v>
      </c>
    </row>
    <row r="95" spans="1:5" x14ac:dyDescent="0.25">
      <c r="A95" s="127"/>
      <c r="B95" s="127"/>
      <c r="C95" s="127"/>
      <c r="D95" s="28" t="s">
        <v>252</v>
      </c>
      <c r="E95" s="30" t="s">
        <v>253</v>
      </c>
    </row>
    <row r="96" spans="1:5" x14ac:dyDescent="0.25">
      <c r="A96" s="127"/>
      <c r="B96" s="131"/>
      <c r="C96" s="127"/>
      <c r="D96" s="31" t="s">
        <v>254</v>
      </c>
      <c r="E96" s="35" t="s">
        <v>255</v>
      </c>
    </row>
    <row r="97" spans="1:5" ht="26.25" customHeight="1" x14ac:dyDescent="0.25">
      <c r="A97" s="32" t="s">
        <v>156</v>
      </c>
      <c r="B97" s="131" t="s">
        <v>84</v>
      </c>
      <c r="C97" s="31" t="s">
        <v>56</v>
      </c>
      <c r="D97" s="31" t="s">
        <v>238</v>
      </c>
      <c r="E97" s="27" t="s">
        <v>239</v>
      </c>
    </row>
    <row r="98" spans="1:5" ht="12.75" customHeight="1" x14ac:dyDescent="0.25">
      <c r="A98" s="127" t="s">
        <v>156</v>
      </c>
      <c r="B98" s="131"/>
      <c r="C98" s="127" t="s">
        <v>108</v>
      </c>
      <c r="D98" s="40" t="s">
        <v>240</v>
      </c>
      <c r="E98" s="34" t="s">
        <v>241</v>
      </c>
    </row>
    <row r="99" spans="1:5" x14ac:dyDescent="0.25">
      <c r="A99" s="127"/>
      <c r="B99" s="127"/>
      <c r="C99" s="127"/>
      <c r="D99" s="30" t="s">
        <v>242</v>
      </c>
      <c r="E99" s="30" t="s">
        <v>243</v>
      </c>
    </row>
    <row r="100" spans="1:5" x14ac:dyDescent="0.25">
      <c r="A100" s="127"/>
      <c r="B100" s="127"/>
      <c r="C100" s="127"/>
      <c r="D100" s="30" t="s">
        <v>244</v>
      </c>
      <c r="E100" s="30" t="s">
        <v>245</v>
      </c>
    </row>
    <row r="101" spans="1:5" x14ac:dyDescent="0.25">
      <c r="A101" s="127"/>
      <c r="B101" s="127"/>
      <c r="C101" s="127"/>
      <c r="D101" s="30" t="s">
        <v>246</v>
      </c>
      <c r="E101" s="30" t="s">
        <v>247</v>
      </c>
    </row>
    <row r="102" spans="1:5" x14ac:dyDescent="0.25">
      <c r="A102" s="127"/>
      <c r="B102" s="127"/>
      <c r="C102" s="127"/>
      <c r="D102" s="28"/>
      <c r="E102" s="30"/>
    </row>
    <row r="103" spans="1:5" ht="25.5" x14ac:dyDescent="0.25">
      <c r="A103" s="127"/>
      <c r="B103" s="131"/>
      <c r="C103" s="127"/>
      <c r="D103" s="31" t="s">
        <v>248</v>
      </c>
      <c r="E103" s="32" t="s">
        <v>249</v>
      </c>
    </row>
    <row r="104" spans="1:5" ht="12.75" customHeight="1" x14ac:dyDescent="0.25">
      <c r="A104" s="127" t="s">
        <v>156</v>
      </c>
      <c r="B104" s="131"/>
      <c r="C104" s="127" t="s">
        <v>109</v>
      </c>
      <c r="D104" s="28" t="s">
        <v>250</v>
      </c>
      <c r="E104" s="34" t="s">
        <v>251</v>
      </c>
    </row>
    <row r="105" spans="1:5" x14ac:dyDescent="0.25">
      <c r="A105" s="127"/>
      <c r="B105" s="127"/>
      <c r="C105" s="127"/>
      <c r="D105" s="28" t="s">
        <v>252</v>
      </c>
      <c r="E105" s="30" t="s">
        <v>253</v>
      </c>
    </row>
    <row r="106" spans="1:5" x14ac:dyDescent="0.25">
      <c r="A106" s="127"/>
      <c r="B106" s="131"/>
      <c r="C106" s="127"/>
      <c r="D106" s="31" t="s">
        <v>254</v>
      </c>
      <c r="E106" s="35" t="s">
        <v>255</v>
      </c>
    </row>
    <row r="107" spans="1:5" ht="26.25" customHeight="1" x14ac:dyDescent="0.25">
      <c r="A107" s="32" t="s">
        <v>156</v>
      </c>
      <c r="B107" s="127" t="s">
        <v>273</v>
      </c>
      <c r="C107" s="127"/>
      <c r="D107" s="31" t="s">
        <v>274</v>
      </c>
      <c r="E107" s="27" t="s">
        <v>275</v>
      </c>
    </row>
    <row r="108" spans="1:5" ht="26.25" customHeight="1" x14ac:dyDescent="0.25">
      <c r="A108" s="32" t="s">
        <v>156</v>
      </c>
      <c r="B108" s="127" t="s">
        <v>276</v>
      </c>
      <c r="C108" s="127"/>
      <c r="D108" s="31" t="s">
        <v>277</v>
      </c>
      <c r="E108" s="27" t="s">
        <v>278</v>
      </c>
    </row>
    <row r="109" spans="1:5" ht="26.25" customHeight="1" x14ac:dyDescent="0.25">
      <c r="A109" s="32" t="s">
        <v>156</v>
      </c>
      <c r="B109" s="127" t="s">
        <v>279</v>
      </c>
      <c r="C109" s="127"/>
      <c r="D109" s="31" t="s">
        <v>280</v>
      </c>
      <c r="E109" s="27" t="s">
        <v>281</v>
      </c>
    </row>
    <row r="110" spans="1:5" ht="25.5" customHeight="1" x14ac:dyDescent="0.25">
      <c r="A110" s="127" t="s">
        <v>156</v>
      </c>
      <c r="B110" s="130" t="s">
        <v>51</v>
      </c>
      <c r="C110" s="130"/>
      <c r="D110" s="39" t="s">
        <v>282</v>
      </c>
      <c r="E110" s="29" t="s">
        <v>283</v>
      </c>
    </row>
    <row r="111" spans="1:5" x14ac:dyDescent="0.25">
      <c r="A111" s="127"/>
      <c r="B111" s="130"/>
      <c r="C111" s="130"/>
      <c r="D111" s="41"/>
      <c r="E111" s="30"/>
    </row>
    <row r="112" spans="1:5" x14ac:dyDescent="0.25">
      <c r="A112" s="127"/>
      <c r="B112" s="130"/>
      <c r="C112" s="130"/>
      <c r="D112" s="42" t="s">
        <v>284</v>
      </c>
      <c r="E112" s="30" t="s">
        <v>285</v>
      </c>
    </row>
    <row r="113" spans="1:1024" x14ac:dyDescent="0.25">
      <c r="A113" s="127"/>
      <c r="B113" s="130"/>
      <c r="C113" s="130"/>
      <c r="D113" s="42" t="s">
        <v>286</v>
      </c>
      <c r="E113" s="30" t="s">
        <v>287</v>
      </c>
    </row>
    <row r="114" spans="1:1024" x14ac:dyDescent="0.25">
      <c r="A114" s="127"/>
      <c r="B114" s="130"/>
      <c r="C114" s="130"/>
      <c r="D114" s="42" t="s">
        <v>288</v>
      </c>
      <c r="E114" s="30" t="s">
        <v>289</v>
      </c>
    </row>
    <row r="115" spans="1:1024" x14ac:dyDescent="0.25">
      <c r="A115" s="127"/>
      <c r="B115" s="130"/>
      <c r="C115" s="130"/>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29" t="s">
        <v>62</v>
      </c>
      <c r="C118" s="129"/>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29" t="s">
        <v>62</v>
      </c>
      <c r="IY118" s="129"/>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29" t="s">
        <v>62</v>
      </c>
      <c r="SU118" s="129"/>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29" t="s">
        <v>62</v>
      </c>
      <c r="ACQ118" s="129"/>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27" t="s">
        <v>298</v>
      </c>
      <c r="C119" s="127"/>
      <c r="D119" s="31" t="s">
        <v>299</v>
      </c>
      <c r="E119" s="27" t="s">
        <v>300</v>
      </c>
    </row>
    <row r="120" spans="1:1024" ht="13.5" customHeight="1" x14ac:dyDescent="0.25">
      <c r="A120" s="32" t="s">
        <v>156</v>
      </c>
      <c r="B120" s="127" t="s">
        <v>301</v>
      </c>
      <c r="C120" s="31" t="s">
        <v>101</v>
      </c>
      <c r="D120" s="31" t="s">
        <v>302</v>
      </c>
      <c r="E120" s="33" t="s">
        <v>303</v>
      </c>
    </row>
    <row r="121" spans="1:1024" x14ac:dyDescent="0.25">
      <c r="A121" s="32" t="s">
        <v>156</v>
      </c>
      <c r="B121" s="127"/>
      <c r="C121" s="31" t="s">
        <v>102</v>
      </c>
      <c r="D121" s="31" t="s">
        <v>304</v>
      </c>
      <c r="E121" s="33" t="s">
        <v>305</v>
      </c>
    </row>
    <row r="122" spans="1:1024" ht="13.5" customHeight="1" x14ac:dyDescent="0.25">
      <c r="A122" s="32" t="s">
        <v>156</v>
      </c>
      <c r="B122" s="127" t="s">
        <v>306</v>
      </c>
      <c r="C122" s="127"/>
      <c r="D122" s="31" t="s">
        <v>307</v>
      </c>
      <c r="E122" s="33" t="s">
        <v>308</v>
      </c>
    </row>
    <row r="123" spans="1:1024" ht="77.25" customHeight="1" x14ac:dyDescent="0.25">
      <c r="A123" s="32" t="s">
        <v>156</v>
      </c>
      <c r="B123" s="127" t="s">
        <v>72</v>
      </c>
      <c r="C123" s="127"/>
      <c r="D123" s="31" t="s">
        <v>309</v>
      </c>
      <c r="E123" s="27" t="s">
        <v>310</v>
      </c>
    </row>
    <row r="124" spans="1:1024" ht="39" customHeight="1" x14ac:dyDescent="0.25">
      <c r="A124" s="27" t="s">
        <v>156</v>
      </c>
      <c r="B124" s="128" t="s">
        <v>57</v>
      </c>
      <c r="C124" s="128"/>
      <c r="D124" s="27" t="s">
        <v>311</v>
      </c>
      <c r="E124" s="29" t="s">
        <v>312</v>
      </c>
    </row>
    <row r="125" spans="1:1024" ht="26.25" customHeight="1" x14ac:dyDescent="0.25">
      <c r="A125" s="32" t="s">
        <v>156</v>
      </c>
      <c r="B125" s="127" t="s">
        <v>56</v>
      </c>
      <c r="C125" s="127"/>
      <c r="D125" s="27" t="s">
        <v>313</v>
      </c>
      <c r="E125" s="27" t="s">
        <v>314</v>
      </c>
    </row>
    <row r="126" spans="1:1024" ht="26.25" customHeight="1" x14ac:dyDescent="0.25">
      <c r="A126" s="32" t="s">
        <v>156</v>
      </c>
      <c r="B126" s="127" t="s">
        <v>54</v>
      </c>
      <c r="C126" s="127"/>
      <c r="D126" s="27" t="s">
        <v>315</v>
      </c>
      <c r="E126" s="27" t="s">
        <v>316</v>
      </c>
    </row>
    <row r="127" spans="1:1024" ht="26.25" customHeight="1" x14ac:dyDescent="0.25">
      <c r="A127" s="32" t="s">
        <v>156</v>
      </c>
      <c r="B127" s="127" t="s">
        <v>55</v>
      </c>
      <c r="C127" s="127"/>
      <c r="D127" s="27" t="s">
        <v>317</v>
      </c>
      <c r="E127" s="27" t="s">
        <v>318</v>
      </c>
    </row>
    <row r="128" spans="1:1024" ht="25.5" customHeight="1" x14ac:dyDescent="0.25">
      <c r="A128" s="127" t="s">
        <v>156</v>
      </c>
      <c r="B128" s="127" t="s">
        <v>53</v>
      </c>
      <c r="C128" s="127"/>
      <c r="D128" s="28" t="s">
        <v>319</v>
      </c>
      <c r="E128" s="48" t="s">
        <v>320</v>
      </c>
    </row>
    <row r="129" spans="1:5" x14ac:dyDescent="0.25">
      <c r="A129" s="127"/>
      <c r="B129" s="127"/>
      <c r="C129" s="127"/>
      <c r="D129" s="28"/>
      <c r="E129" s="30"/>
    </row>
    <row r="130" spans="1:5" x14ac:dyDescent="0.25">
      <c r="A130" s="127"/>
      <c r="B130" s="127"/>
      <c r="C130" s="127"/>
      <c r="D130" s="28" t="s">
        <v>321</v>
      </c>
      <c r="E130" s="30" t="s">
        <v>322</v>
      </c>
    </row>
    <row r="131" spans="1:5" x14ac:dyDescent="0.25">
      <c r="A131" s="127"/>
      <c r="B131" s="127"/>
      <c r="C131" s="127"/>
      <c r="D131" s="28" t="s">
        <v>323</v>
      </c>
      <c r="E131" s="30" t="s">
        <v>324</v>
      </c>
    </row>
    <row r="132" spans="1:5" x14ac:dyDescent="0.25">
      <c r="A132" s="127"/>
      <c r="B132" s="127"/>
      <c r="C132" s="127"/>
      <c r="D132" s="28" t="s">
        <v>325</v>
      </c>
      <c r="E132" s="30" t="s">
        <v>326</v>
      </c>
    </row>
    <row r="133" spans="1:5" x14ac:dyDescent="0.25">
      <c r="A133" s="127"/>
      <c r="B133" s="127"/>
      <c r="C133" s="127"/>
      <c r="D133" s="31" t="s">
        <v>327</v>
      </c>
      <c r="E133" s="35" t="s">
        <v>328</v>
      </c>
    </row>
    <row r="134" spans="1:5" ht="13.5" customHeight="1" x14ac:dyDescent="0.25">
      <c r="A134" s="32" t="s">
        <v>179</v>
      </c>
      <c r="B134" s="127" t="s">
        <v>89</v>
      </c>
      <c r="C134" s="127"/>
      <c r="D134" s="31" t="s">
        <v>329</v>
      </c>
      <c r="E134" s="33" t="s">
        <v>330</v>
      </c>
    </row>
    <row r="135" spans="1:5" ht="13.5" customHeight="1" x14ac:dyDescent="0.25">
      <c r="A135" s="32" t="s">
        <v>156</v>
      </c>
      <c r="B135" s="127" t="s">
        <v>66</v>
      </c>
      <c r="C135" s="127"/>
      <c r="D135" s="31" t="s">
        <v>331</v>
      </c>
      <c r="E135" s="33" t="s">
        <v>332</v>
      </c>
    </row>
    <row r="136" spans="1:5" ht="39" customHeight="1" x14ac:dyDescent="0.25">
      <c r="A136" s="32" t="s">
        <v>156</v>
      </c>
      <c r="B136" s="127" t="s">
        <v>333</v>
      </c>
      <c r="C136" s="127"/>
      <c r="D136" s="31" t="s">
        <v>334</v>
      </c>
      <c r="E136" s="27" t="s">
        <v>335</v>
      </c>
    </row>
    <row r="137" spans="1:5" ht="26.25" customHeight="1" x14ac:dyDescent="0.25">
      <c r="A137" s="32" t="s">
        <v>179</v>
      </c>
      <c r="B137" s="127" t="s">
        <v>88</v>
      </c>
      <c r="C137" s="127"/>
      <c r="D137" s="31" t="s">
        <v>336</v>
      </c>
      <c r="E137" s="27" t="s">
        <v>337</v>
      </c>
    </row>
    <row r="138" spans="1:5" ht="13.5" customHeight="1" x14ac:dyDescent="0.25">
      <c r="A138" s="32" t="s">
        <v>179</v>
      </c>
      <c r="B138" s="127" t="s">
        <v>58</v>
      </c>
      <c r="C138" s="127"/>
      <c r="D138" s="31" t="s">
        <v>338</v>
      </c>
      <c r="E138" s="27" t="s">
        <v>339</v>
      </c>
    </row>
    <row r="140" spans="1:5" ht="118.5" customHeight="1" x14ac:dyDescent="0.25">
      <c r="A140" s="128" t="s">
        <v>340</v>
      </c>
      <c r="B140" s="128"/>
      <c r="C140" s="128"/>
      <c r="D140" s="128"/>
      <c r="E140" s="27" t="s">
        <v>341</v>
      </c>
    </row>
    <row r="142" spans="1:5" x14ac:dyDescent="0.25">
      <c r="A142" s="23" t="s">
        <v>342</v>
      </c>
    </row>
  </sheetData>
  <mergeCells count="72">
    <mergeCell ref="B4:C4"/>
    <mergeCell ref="A5:A11"/>
    <mergeCell ref="B5:C11"/>
    <mergeCell ref="B12:B16"/>
    <mergeCell ref="B17:C17"/>
    <mergeCell ref="B18:C18"/>
    <mergeCell ref="B19:C19"/>
    <mergeCell ref="B20:C20"/>
    <mergeCell ref="B21:C21"/>
    <mergeCell ref="B22:C22"/>
    <mergeCell ref="A23:A36"/>
    <mergeCell ref="B23:C36"/>
    <mergeCell ref="B37:C37"/>
    <mergeCell ref="B38:C38"/>
    <mergeCell ref="B39:C39"/>
    <mergeCell ref="A40:A44"/>
    <mergeCell ref="B40:C44"/>
    <mergeCell ref="B45:C45"/>
    <mergeCell ref="B49:B58"/>
    <mergeCell ref="A50:A55"/>
    <mergeCell ref="C50:C55"/>
    <mergeCell ref="A56:A58"/>
    <mergeCell ref="C56:C58"/>
    <mergeCell ref="B59:C59"/>
    <mergeCell ref="B60:B69"/>
    <mergeCell ref="A61:A66"/>
    <mergeCell ref="C61:C66"/>
    <mergeCell ref="A67:A69"/>
    <mergeCell ref="C67:C69"/>
    <mergeCell ref="B70:B79"/>
    <mergeCell ref="A71:A76"/>
    <mergeCell ref="C71:C76"/>
    <mergeCell ref="A77:A79"/>
    <mergeCell ref="C77:C79"/>
    <mergeCell ref="A80:A85"/>
    <mergeCell ref="B80:C85"/>
    <mergeCell ref="B86:C86"/>
    <mergeCell ref="B87:B96"/>
    <mergeCell ref="A88:A93"/>
    <mergeCell ref="C88:C93"/>
    <mergeCell ref="A94:A96"/>
    <mergeCell ref="C94:C96"/>
    <mergeCell ref="B97:B106"/>
    <mergeCell ref="A98:A103"/>
    <mergeCell ref="C98:C103"/>
    <mergeCell ref="A104:A106"/>
    <mergeCell ref="C104:C106"/>
    <mergeCell ref="B107:C107"/>
    <mergeCell ref="B108:C108"/>
    <mergeCell ref="B109:C109"/>
    <mergeCell ref="A110:A115"/>
    <mergeCell ref="B110:C115"/>
    <mergeCell ref="B118:C118"/>
    <mergeCell ref="IX118:IY118"/>
    <mergeCell ref="ST118:SU118"/>
    <mergeCell ref="ACP118:ACQ118"/>
    <mergeCell ref="B119:C119"/>
    <mergeCell ref="B120:B121"/>
    <mergeCell ref="B122:C122"/>
    <mergeCell ref="B123:C123"/>
    <mergeCell ref="B124:C124"/>
    <mergeCell ref="B125:C125"/>
    <mergeCell ref="B126:C126"/>
    <mergeCell ref="B127:C127"/>
    <mergeCell ref="A128:A133"/>
    <mergeCell ref="B128:C133"/>
    <mergeCell ref="B134:C134"/>
    <mergeCell ref="B135:C135"/>
    <mergeCell ref="B136:C136"/>
    <mergeCell ref="B137:C137"/>
    <mergeCell ref="B138:C138"/>
    <mergeCell ref="A140:D140"/>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2026-02-09T10:44:57Z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