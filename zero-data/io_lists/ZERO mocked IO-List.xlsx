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4A83DC22-CCC4-4D39-B584-3E0C4059BD0F}"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Z432" i="3" l="1"/>
  <c r="Y432" i="3"/>
  <c r="Z431" i="3"/>
  <c r="Y431" i="3"/>
  <c r="Y24" i="3" l="1"/>
  <c r="Y23" i="3"/>
  <c r="Y22" i="3"/>
  <c r="Y21" i="3"/>
  <c r="Y20" i="3"/>
  <c r="Y19" i="3"/>
  <c r="Y18" i="3"/>
  <c r="Y17" i="3"/>
  <c r="Y16" i="3"/>
  <c r="Y15" i="3"/>
  <c r="BB24" i="3"/>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Y14" i="3"/>
  <c r="Y13" i="3"/>
  <c r="Y12" i="3"/>
  <c r="Y11" i="3"/>
  <c r="Y10" i="3"/>
  <c r="Y9"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Y8" i="3"/>
  <c r="W8" i="3"/>
  <c r="BB7" i="3"/>
  <c r="Z7" i="3" a="1"/>
  <c r="Z7" i="3" s="1"/>
  <c r="Y7" i="3"/>
  <c r="W7" i="3"/>
  <c r="BB6" i="3"/>
  <c r="Z6" i="3" a="1"/>
  <c r="Z6" i="3" s="1"/>
  <c r="Y6" i="3"/>
  <c r="W6" i="3"/>
  <c r="BB5" i="3"/>
  <c r="Z5" i="3" a="1"/>
  <c r="Z5" i="3" s="1"/>
  <c r="Y5" i="3"/>
  <c r="W5" i="3"/>
  <c r="BB4" i="3"/>
  <c r="Z4" i="3" a="1"/>
  <c r="Z4" i="3" s="1"/>
  <c r="Y4" i="3"/>
  <c r="W4" i="3"/>
  <c r="Y3"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<sst xmlns="http://schemas.openxmlformats.org/spreadsheetml/2006/main" count="6599" uniqueCount="1463">
  <si>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</si>
  <si>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</si>
  <si>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</si>
  <si>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</si>
  <si>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</si>
  <si>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</si>
  <si>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</si>
  <si>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</si>
  <si>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</si>
  <si>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</si>
  <si>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</si>
  <si>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</si>
  <si>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</si>
  <si>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</si>
  <si>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</si>
  <si>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</si>
  <si>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</si>
  <si>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</si>
  <si>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</si>
  <si>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</si>
  <si>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</si>
  <si>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</si>
  <si>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</si>
  <si>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</si>
  <si>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</si>
  <si>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</si>
  <si>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</si>
  <si>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</si>
  <si>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</si>
  <si>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</si>
  <si>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</si>
  <si>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</si>
  <si>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</si>
  <si>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</si>
  <si>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</si>
  <si>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</si>
  <si>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</si>
  <si>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</si>
  <si>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</si>
  <si>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</si>
  <si>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</si>
  <si>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</si>
  <si>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</si>
  <si>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</si>
  <si>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</si>
  <si>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</si>
  <si>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</si>
  <si>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</si>
  <si>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</si>
  <si>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</si>
  <si>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</si>
  <si>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</si>
  <si>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</si>
  <si>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</si>
  <si>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</si>
  <si>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</si>
  <si>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</si>
  <si>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</si>
  <si>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</si>
  <si>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</si>
  <si>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</si>
  <si>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</si>
  <si>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</si>
  <si>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</si>
  <si>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</si>
  <si>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</si>
  <si>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</si>
  <si>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</si>
  <si>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</si>
  <si>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</si>
  <si>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</si>
  <si>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</si>
  <si>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</si>
  <si>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</si>
  <si>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</si>
  <si>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</si>
  <si>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</si>
  <si>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</si>
  <si>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</si>
  <si>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</si>
  <si>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</si>
  <si>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</si>
  <si>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</si>
  <si>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</si>
  <si>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</si>
  <si>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</si>
  <si>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</si>
  <si>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</si>
  <si>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</si>
  <si>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</si>
  <si>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</si>
  <si>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</si>
  <si>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</si>
  <si>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</si>
  <si>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</si>
  <si>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</si>
  <si>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</si>
  <si>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</si>
  <si>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</si>
  <si>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</si>
  <si>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</si>
  <si>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</si>
  <si>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</si>
  <si>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</si>
  <si>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</si>
  <si>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</si>
  <si>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</si>
  <si>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</si>
  <si>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</si>
  <si>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</si>
  <si>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</si>
  <si>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</si>
  <si>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</si>
  <si>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</si>
  <si>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</si>
  <si>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</si>
  <si>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</si>
  <si>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</si>
  <si>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</si>
  <si>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</si>
  <si>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</si>
  <si>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</si>
  <si>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</si>
  <si>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</si>
  <si>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</si>
  <si>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</si>
  <si>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</si>
  <si>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</si>
  <si>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</si>
  <si>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</si>
  <si>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</si>
  <si>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</si>
  <si>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</si>
  <si>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</si>
  <si>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</si>
  <si>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</si>
  <si>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</si>
  <si>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</si>
  <si>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</si>
  <si>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</si>
  <si>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</si>
  <si>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</si>
  <si>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</si>
  <si>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</si>
  <si>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</si>
  <si>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</si>
  <si>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</si>
  <si>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</si>
  <si>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</si>
  <si>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</si>
  <si>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</si>
  <si>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</si>
  <si>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</si>
  <si>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</si>
  <si>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</si>
  <si>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</si>
  <si>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</si>
  <si>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</si>
  <si>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</si>
  <si>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</si>
  <si>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</si>
  <si>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</si>
  <si>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</si>
  <si>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</si>
  <si>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</si>
  <si>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</si>
  <si>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</si>
  <si>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</si>
  <si>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</si>
  <si>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</si>
  <si>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</si>
  <si>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</si>
  <si>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</si>
  <si>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</si>
  <si>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</si>
  <si>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</si>
  <si>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</si>
  <si>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</si>
  <si>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</si>
  <si>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</si>
  <si>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</si>
  <si>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</si>
  <si>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</si>
  <si>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</si>
  <si>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</si>
  <si>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</si>
  <si>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</si>
  <si>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</si>
  <si>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</si>
  <si>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</si>
  <si>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</si>
  <si>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</si>
  <si>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</si>
  <si>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</si>
  <si>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</si>
  <si>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</si>
  <si>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</si>
  <si>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</si>
  <si>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</si>
  <si>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</si>
  <si>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</si>
  <si>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</si>
  <si>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</si>
  <si>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</si>
  <si>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</si>
  <si>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</si>
  <si>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</si>
  <si>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</si>
  <si>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</si>
  <si>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</si>
  <si>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</si>
  <si>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</si>
  <si>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</si>
  <si>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</si>
  <si>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</si>
  <si>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</si>
  <si>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</si>
  <si>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</si>
  <si>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</si>
  <si>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</si>
  <si>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</si>
  <si>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</si>
  <si>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</si>
  <si>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</si>
  <si>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</si>
  <si>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</si>
  <si>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</si>
  <si>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</si>
  <si>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</si>
  <si>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</si>
  <si>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</si>
  <si>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</si>
  <si>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</si>
  <si>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</si>
  <si>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</si>
  <si>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</si>
  <si>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</si>
  <si>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</si>
  <si>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</si>
  <si>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</si>
  <si>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</si>
  <si>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</si>
  <si>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</si>
  <si>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</si>
  <si>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</si>
  <si>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</si>
  <si>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</si>
  <si>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</si>
  <si>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</si>
  <si>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</si>
  <si>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</si>
  <si>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</si>
  <si>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</si>
  <si>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</si>
  <si>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</si>
  <si>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</si>
  <si>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</si>
  <si>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</si>
  <si>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</si>
  <si>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</si>
  <si>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</si>
  <si>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</si>
  <si>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</si>
  <si>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</si>
  <si>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</si>
  <si>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</si>
  <si>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</si>
  <si>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</si>
  <si>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</si>
  <si>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</si>
  <si>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</si>
  <si>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</si>
  <si>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</si>
  <si>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</si>
  <si>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</si>
  <si>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</si>
  <si>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</si>
  <si>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</si>
  <si>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</si>
  <si>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</si>
  <si>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</si>
  <si>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</si>
  <si>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</si>
  <si>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</si>
  <si>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</si>
  <si>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</si>
  <si>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</si>
  <si>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</si>
  <si>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</si>
  <si>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</si>
  <si>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</si>
  <si>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</si>
  <si>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</si>
  <si>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</si>
  <si>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</si>
  <si>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</si>
  <si>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</si>
  <si>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</si>
  <si>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</si>
  <si>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</si>
  <si>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</si>
  <si>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</si>
  <si>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</si>
  <si>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</si>
  <si>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</si>
  <si>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</si>
  <si>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</si>
  <si>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</si>
  <si>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</si>
  <si>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</si>
  <si>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</si>
  <si>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</si>
  <si>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</si>
  <si>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</si>
  <si>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</si>
  <si>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</si>
  <si>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</si>
  <si>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</si>
  <si>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</si>
  <si>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</si>
  <si>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</si>
  <si>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</si>
  <si>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</si>
  <si>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</si>
  <si>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</si>
  <si>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</si>
  <si>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</si>
  <si>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</si>
  <si>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</si>
  <si>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</si>
  <si>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</si>
  <si>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</si>
  <si>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</si>
  <si>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</si>
  <si>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</si>
  <si>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</si>
  <si>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</si>
  <si>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</si>
  <si>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</si>
  <si>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</si>
  <si>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</si>
  <si>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</si>
  <si>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</si>
  <si>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</si>
  <si>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</si>
  <si>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</si>
  <si>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</si>
  <si>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</si>
  <si>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</si>
  <si>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</si>
  <si>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</si>
  <si>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</si>
  <si>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</si>
  <si>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</si>
  <si>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</si>
  <si>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</si>
  <si>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</si>
  <si>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</si>
  <si>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</si>
  <si>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</si>
  <si>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</si>
  <si>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</si>
  <si>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</si>
  <si>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</si>
  <si>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</si>
  <si>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</si>
  <si>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</si>
  <si>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</si>
  <si>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</si>
  <si>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</si>
  <si>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</si>
  <si>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</si>
  <si>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</si>
  <si>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</si>
  <si>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</si>
  <si>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</si>
  <si>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</si>
  <si>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</si>
  <si>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</si>
  <si>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</si>
  <si>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</si>
  <si>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</si>
  <si>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</si>
  <si>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</si>
  <si>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</si>
  <si>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</si>
  <si>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</si>
  <si>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</si>
  <si>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</si>
  <si>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</si>
  <si>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</si>
  <si>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</si>
  <si>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</si>
  <si>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</si>
  <si>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</si>
  <si>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</si>
  <si>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</si>
  <si>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</si>
  <si>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</si>
  <si>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</si>
  <si>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</si>
  <si>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</si>
  <si>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</si>
  <si>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</si>
  <si>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</si>
  <si>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</si>
  <si>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</si>
  <si>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</si>
  <si>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</si>
  <si>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</si>
  <si>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</si>
  <si>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</si>
  <si>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</si>
  <si>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</si>
  <si>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</si>
  <si>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</si>
  <si>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</si>
  <si>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</si>
  <si>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</si>
  <si>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</si>
  <si>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</si>
  <si>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</si>
  <si>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</si>
  <si>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</si>
  <si>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</si>
  <si>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</si>
  <si>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</si>
  <si>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</si>
  <si>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</si>
  <si>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</si>
  <si>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</si>
  <si>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</si>
  <si>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</si>
  <si>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</si>
  <si>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</si>
  <si>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</si>
  <si>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</si>
  <si>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</si>
  <si>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</si>
  <si>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</si>
  <si>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</si>
  <si>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</si>
  <si>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</si>
  <si>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</si>
  <si>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</si>
  <si>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</si>
  <si>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</si>
  <si>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</si>
  <si>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</si>
  <si>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</si>
  <si>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</si>
  <si>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</si>
  <si>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</si>
  <si>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</si>
  <si>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</si>
  <si>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</si>
  <si>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</si>
  <si>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</si>
  <si>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</si>
  <si>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</si>
  <si>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</si>
  <si>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</si>
  <si>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</si>
  <si>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</si>
  <si>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</si>
  <si>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</si>
  <si>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</si>
  <si>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</si>
  <si>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</si>
  <si>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</si>
  <si>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</si>
  <si>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</si>
  <si>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</si>
  <si>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</si>
  <si>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</si>
  <si>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</si>
  <si>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</si>
  <si>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</si>
  <si>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</si>
  <si>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</si>
  <si>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</si>
  <si>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</si>
  <si>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</si>
  <si>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</si>
  <si>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</si>
  <si>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</si>
  <si>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</si>
  <si>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</si>
  <si>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</si>
  <si>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</si>
  <si>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</si>
  <si>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</si>
  <si>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</si>
  <si>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</si>
  <si>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</si>
  <si>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</si>
  <si>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</si>
  <si>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</si>
  <si>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</si>
  <si>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</si>
  <si>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</si>
  <si>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</si>
  <si>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</si>
  <si>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</si>
  <si>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</si>
  <si>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</si>
  <si>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</si>
  <si>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</si>
  <si>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</si>
  <si>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</si>
  <si>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Powertags1</t>
  </si>
  <si>
    <t>PT109F01_Total_Active_Power</t>
  </si>
  <si>
    <t>+CB.1</t>
  </si>
  <si>
    <t>AC DISTR 10P0.1</t>
  </si>
  <si>
    <t xml:space="preserve">Iridium GMDSS Supply Total Active Power </t>
  </si>
  <si>
    <t>Mqtt1</t>
  </si>
  <si>
    <t>power-tag/Iridium-GMDSS-Supply</t>
  </si>
  <si>
    <t>$.Total_Active_Power</t>
  </si>
  <si>
    <t>W</t>
  </si>
  <si>
    <t/>
  </si>
  <si>
    <t>PT109F01_Total_Power_Factor</t>
  </si>
  <si>
    <t>Iridium GMDSS Supply Total Power Factor</t>
  </si>
  <si>
    <t>$.Total_Power_Factor</t>
  </si>
  <si>
    <t xml:space="preserve">Main Propulsion Unit Offline Filter Total Active Power </t>
  </si>
  <si>
    <t>power-tag/Main-Propulsion-Unit-Offline-Filter</t>
  </si>
  <si>
    <t>Main Propulsion Unit Offline Filter Total Power Factor</t>
  </si>
  <si>
    <t>PT130F01_Total_Active_Power</t>
  </si>
  <si>
    <t xml:space="preserve">AHU Owners State Room Total Active Power </t>
  </si>
  <si>
    <t>power-tag/AHU-Owners-State-Room</t>
  </si>
  <si>
    <t>PT130F01_Total_Power_Factor</t>
  </si>
  <si>
    <t>AHU Owners State Room Total Power Factor</t>
  </si>
  <si>
    <t>PT132F01_Total_Active_Power</t>
  </si>
  <si>
    <t xml:space="preserve">EREC 1 Power Supply Heat Recovery Total Active Power </t>
  </si>
  <si>
    <t>power-tag/EREC-1-Power-Supply-Heat-Recovery</t>
  </si>
  <si>
    <t>PT132F01_Total_Power_Factor</t>
  </si>
  <si>
    <t>EREC 1 Power Supply Heat Recovery Total Power Factor</t>
  </si>
  <si>
    <t>PT137F01_Total_Active_Power</t>
  </si>
  <si>
    <t xml:space="preserve">Main Propulsion Unit AC Heating Total Active Power </t>
  </si>
  <si>
    <t>power-tag/Main-Propulsion-Unit-AC-Heating</t>
  </si>
  <si>
    <t>PT137F01_Total_Power_Factor</t>
  </si>
  <si>
    <t>Main Propulsion Unit AC Heating Total Power Factor</t>
  </si>
  <si>
    <t>PT138F01_Total_Active_Power</t>
  </si>
  <si>
    <t xml:space="preserve">Potable Water Total Active Power </t>
  </si>
  <si>
    <t>power-tag/Potable-Water</t>
  </si>
  <si>
    <t>PT138F01_Total_Power_Factor</t>
  </si>
  <si>
    <t>Potable Water Total Power Factor</t>
  </si>
  <si>
    <t>PT139F01_Total_Active_Power</t>
  </si>
  <si>
    <t xml:space="preserve">Drain Pump 1 PS Deck Locker Total Active Power </t>
  </si>
  <si>
    <t>power-tag/Drain-Pump-1-PS-Deck-Locker</t>
  </si>
  <si>
    <t>PT139F01_Total_Power_Factor</t>
  </si>
  <si>
    <t>Drain Pump 1 PS Deck Locker Total Power Factor</t>
  </si>
  <si>
    <t>PT140F01_Total_Active_Power</t>
  </si>
  <si>
    <t xml:space="preserve">Drain Pump 3 PS Deck Locker Total Active Power </t>
  </si>
  <si>
    <t>power-tag/Drain-Pump-3-PS-Deck-Locker</t>
  </si>
  <si>
    <t>PT140F01_Total_Power_Factor</t>
  </si>
  <si>
    <t>Drain Pump 3 PS Deck Locker Total Power Factor</t>
  </si>
  <si>
    <t>PT141F01_Total_Active_Power</t>
  </si>
  <si>
    <t xml:space="preserve">Bilge Water Separator Total Active Power </t>
  </si>
  <si>
    <t>power-tag/Bilge-Water-Separator</t>
  </si>
  <si>
    <t>PT141F01_Total_Power_Factor</t>
  </si>
  <si>
    <t>Bilge Water Separator Total Power Factor</t>
  </si>
  <si>
    <t>PT142F01_Total_Active_Power</t>
  </si>
  <si>
    <t xml:space="preserve">Draink Tank Mast Total Active Power </t>
  </si>
  <si>
    <t>power-tag/Draink-Tank-Mast</t>
  </si>
  <si>
    <t>PT142F01_Total_Power_Factor</t>
  </si>
  <si>
    <t>Draink Tank Mast Total Power Factor</t>
  </si>
  <si>
    <t>PT146F01_Total_Active_Power</t>
  </si>
  <si>
    <t xml:space="preserve">Watermaker Total Active Power </t>
  </si>
  <si>
    <t>power-tag/Watermaker</t>
  </si>
  <si>
    <t>PT146F01_Total_Power_Factor</t>
  </si>
  <si>
    <t>Watermaker Total Power Factor</t>
  </si>
  <si>
    <t>PT147F01_Total_Active_Power</t>
  </si>
  <si>
    <t xml:space="preserve">Discharge Pumps Aft Technical Water Total Active Power </t>
  </si>
  <si>
    <t>power-tag/Discharge-Pumps-Aft-Technical-Water</t>
  </si>
  <si>
    <t>PT147F01_Total_Power_Factor</t>
  </si>
  <si>
    <t>Discharge Pumps Aft Technical Water Total Power Factor</t>
  </si>
  <si>
    <t>PT148F01_Total_Active_Power</t>
  </si>
  <si>
    <t xml:space="preserve">Co2 Total Active Power </t>
  </si>
  <si>
    <t>power-tag/Co2</t>
  </si>
  <si>
    <t>PT148F01_Total_Power_Factor</t>
  </si>
  <si>
    <t>Co2 Total Power Factor</t>
  </si>
  <si>
    <t>PT149F01_Total_Active_Power</t>
  </si>
  <si>
    <t xml:space="preserve">Antifouling System Total Active Power </t>
  </si>
  <si>
    <t>power-tag/Antifouling-System</t>
  </si>
  <si>
    <t>PT149F01_Total_Power_Factor</t>
  </si>
  <si>
    <t>Antifouling System Total Power Factor</t>
  </si>
  <si>
    <t>PT150F01_Total_Active_Power</t>
  </si>
  <si>
    <t xml:space="preserve">Adsorption Unit Total Active Power </t>
  </si>
  <si>
    <t>power-tag/Adsorption-Unit</t>
  </si>
  <si>
    <t>PT150F01_Total_Power_Factor</t>
  </si>
  <si>
    <t>Adsorption Unit Total Power Factor</t>
  </si>
  <si>
    <t>PT152F01_Total_Active_Power</t>
  </si>
  <si>
    <t xml:space="preserve">Hydrophore 1 Total Active Power </t>
  </si>
  <si>
    <t>power-tag/Hydrophore-1</t>
  </si>
  <si>
    <t>PT152F01_Total_Power_Factor</t>
  </si>
  <si>
    <t>Hydrophore 1 Total Power Factor</t>
  </si>
  <si>
    <t>PT154F01_Total_Active_Power</t>
  </si>
  <si>
    <t xml:space="preserve">Circulation Pump Adiabtic Pump Total Active Power </t>
  </si>
  <si>
    <t>power-tag/Circulation-Pump-Adiabtic-Pump</t>
  </si>
  <si>
    <t>PT154F01_Total_Power_Factor</t>
  </si>
  <si>
    <t>Circulation Pump Adiabtic Pump Total Power Factor</t>
  </si>
  <si>
    <t>PT161F01_Total_Active_Power</t>
  </si>
  <si>
    <t xml:space="preserve">Main Salon JB Total Active Power </t>
  </si>
  <si>
    <t>power-tag/Main-Salon-JB</t>
  </si>
  <si>
    <t>PT161F01_Total_Power_Factor</t>
  </si>
  <si>
    <t>Main Salon JB Total Power Factor</t>
  </si>
  <si>
    <t>PT164F01_Total_Active_Power</t>
  </si>
  <si>
    <t xml:space="preserve">Distrbution Panel 115V Total Active Power </t>
  </si>
  <si>
    <t>power-tag/Distrbution-Panel-115V</t>
  </si>
  <si>
    <t>PT164F01_Total_Power_Factor</t>
  </si>
  <si>
    <t>Distrbution Panel 115V Total Power Factor</t>
  </si>
  <si>
    <t>PT165F01_Total_Active_Power</t>
  </si>
  <si>
    <t xml:space="preserve">Discharge Pump Master Cabin PS Total Active Power </t>
  </si>
  <si>
    <t>power-tag/Discharge-Pump-Master-Cabin-PS</t>
  </si>
  <si>
    <t>PT165F01_Total_Power_Factor</t>
  </si>
  <si>
    <t>Discharge Pump Master Cabin PS Total Power Factor</t>
  </si>
  <si>
    <t>PT166F01_Total_Active_Power</t>
  </si>
  <si>
    <t xml:space="preserve">Discharge Pump Guest PS Total Active Power </t>
  </si>
  <si>
    <t>power-tag/Discharge-Pump-Guest-PS</t>
  </si>
  <si>
    <t>PT166F01_Total_Power_Factor</t>
  </si>
  <si>
    <t>Discharge Pump Guest PS Total Power Factor</t>
  </si>
  <si>
    <t>PT167F01_Total_Active_Power</t>
  </si>
  <si>
    <t xml:space="preserve">Discharge Pump Guest PS And Overflow Total Active Power </t>
  </si>
  <si>
    <t>power-tag/Discharge-Pump-Guest-PS-And-Overflow</t>
  </si>
  <si>
    <t>PT167F01_Total_Power_Factor</t>
  </si>
  <si>
    <t>Discharge Pump Guest PS And Overflow Total Power Factor</t>
  </si>
  <si>
    <t>PT168F01_Total_Active_Power</t>
  </si>
  <si>
    <t xml:space="preserve">Charger Radio Batteries (GMDSS) Total Active Power </t>
  </si>
  <si>
    <t>power-tag/Charger-Radio-Batteries-GMDSS-</t>
  </si>
  <si>
    <t>PT168F01_Total_Power_Factor</t>
  </si>
  <si>
    <t>Charger Radio Batteries (GMDSS) Total Power Factor</t>
  </si>
  <si>
    <t>PT169F01_Total_Active_Power</t>
  </si>
  <si>
    <t xml:space="preserve">Underwater Lights PS (Group 1) Total Active Power </t>
  </si>
  <si>
    <t>power-tag/Underwater-Lights-PS-Group-1-</t>
  </si>
  <si>
    <t>PT169F01_Total_Power_Factor</t>
  </si>
  <si>
    <t>Underwater Lights PS (Group 1) Total Power Factor</t>
  </si>
  <si>
    <t>PT170F01_Total_Active_Power</t>
  </si>
  <si>
    <t xml:space="preserve">Underwater Lights PS (Group 2) Total Active Power </t>
  </si>
  <si>
    <t>power-tag/Underwater-Lights-PS-Group-2-</t>
  </si>
  <si>
    <t>PT170F01_Total_Power_Factor</t>
  </si>
  <si>
    <t>Underwater Lights PS (Group 2) Total Power Factor</t>
  </si>
  <si>
    <t>PT171F01_Total_Active_Power</t>
  </si>
  <si>
    <t xml:space="preserve">AHU EXH2000 Above Laundry Total Active Power </t>
  </si>
  <si>
    <t>power-tag/AHU-EXH2000-Above-Laundry</t>
  </si>
  <si>
    <t>PT171F01_Total_Power_Factor</t>
  </si>
  <si>
    <t>AHU EXH2000 Above Laundry Total Power Factor</t>
  </si>
  <si>
    <t xml:space="preserve">Discharge Pump Galley/Crew Mess Total Active Power </t>
  </si>
  <si>
    <t>power-tag/Discharge-Pump-Galley-Crew-Mess</t>
  </si>
  <si>
    <t>Discharge Pump Galley/Crew Mess Total Power Factor</t>
  </si>
  <si>
    <t>PT175F01_Total_Active_Power</t>
  </si>
  <si>
    <t xml:space="preserve">Display Switching Ship Office Total Active Power </t>
  </si>
  <si>
    <t>power-tag/Display-Switching-Ship-Office</t>
  </si>
  <si>
    <t>PT175F01_Total_Power_Factor</t>
  </si>
  <si>
    <t>Display Switching Ship Office Total Power Factor</t>
  </si>
  <si>
    <t>PT176F01_Total_Active_Power</t>
  </si>
  <si>
    <t xml:space="preserve">Display Switching Supply Helm PS Total Active Power </t>
  </si>
  <si>
    <t>power-tag/Display-Switching-Supply-Helm-PS</t>
  </si>
  <si>
    <t>PT176F01_Total_Power_Factor</t>
  </si>
  <si>
    <t>Display Switching Supply Helm PS Total Power Factor</t>
  </si>
  <si>
    <t>PT177F01_Total_Active_Power</t>
  </si>
  <si>
    <t xml:space="preserve">ECDIS 1 Total Active Power </t>
  </si>
  <si>
    <t>power-tag/ECDIS-1</t>
  </si>
  <si>
    <t>PT177F01_Total_Power_Factor</t>
  </si>
  <si>
    <t>ECDIS 1 Total Power Factor</t>
  </si>
  <si>
    <t>PT178F01_Total_Active_Power</t>
  </si>
  <si>
    <t xml:space="preserve">Radar 1 Total Active Power </t>
  </si>
  <si>
    <t>power-tag/Radar-1</t>
  </si>
  <si>
    <t>PT178F01_Total_Power_Factor</t>
  </si>
  <si>
    <t>Radar 1 Total Power Factor</t>
  </si>
  <si>
    <t>PT179F01_Total_Active_Power</t>
  </si>
  <si>
    <t xml:space="preserve">Speedlog Total Active Power </t>
  </si>
  <si>
    <t>power-tag/Speedlog</t>
  </si>
  <si>
    <t>PT179F01_Total_Power_Factor</t>
  </si>
  <si>
    <t>Speedlog Total Power Factor</t>
  </si>
  <si>
    <t>PT180F01_Total_Active_Power</t>
  </si>
  <si>
    <t xml:space="preserve">VHF 1 (Main) Total Active Power </t>
  </si>
  <si>
    <t>power-tag/VHF-1-Main-</t>
  </si>
  <si>
    <t>PT180F01_Total_Power_Factor</t>
  </si>
  <si>
    <t>VHF 1 (Main) Total Power Factor</t>
  </si>
  <si>
    <t>PT181F01_Total_Active_Power</t>
  </si>
  <si>
    <t xml:space="preserve">AHU Technical Room Total Active Power </t>
  </si>
  <si>
    <t>power-tag/AHU-Technical-Room</t>
  </si>
  <si>
    <t>PT181F01_Total_Power_Factor</t>
  </si>
  <si>
    <t>AHU Technical Room Total Power Factor</t>
  </si>
  <si>
    <t>PT182F01_Total_Active_Power</t>
  </si>
  <si>
    <t xml:space="preserve">Central Panel Smart Ventilation System Total Active Power </t>
  </si>
  <si>
    <t>power-tag/Central-Panel-Smart-Ventilation-System</t>
  </si>
  <si>
    <t>PT182F01_Total_Power_Factor</t>
  </si>
  <si>
    <t>Central Panel Smart Ventilation System Total Power Factor</t>
  </si>
  <si>
    <t>PT183F01_Total_Active_Power</t>
  </si>
  <si>
    <t xml:space="preserve">BNWAS Total Active Power </t>
  </si>
  <si>
    <t>power-tag/BNWAS</t>
  </si>
  <si>
    <t>PT183F01_Total_Power_Factor</t>
  </si>
  <si>
    <t>BNWAS Total Power Factor</t>
  </si>
  <si>
    <t>PT184F01_Total_Active_Power</t>
  </si>
  <si>
    <t xml:space="preserve">GPS Total Active Power </t>
  </si>
  <si>
    <t>power-tag/GPS</t>
  </si>
  <si>
    <t>PT184F01_Total_Power_Factor</t>
  </si>
  <si>
    <t>GPS Total Power Factor</t>
  </si>
  <si>
    <t>Transfer Pump 1 Grey/Black Water Total Power Factor</t>
  </si>
  <si>
    <t>power-tag/Transfer-Pump-1-Grey-Black-Water</t>
  </si>
  <si>
    <t>PT110Q01_Total_Active_Power</t>
  </si>
  <si>
    <t xml:space="preserve">Transfer Pump 1 Grey/Black Water Total Active Power </t>
  </si>
  <si>
    <t>PT110Q01_Total_Power_Factor</t>
  </si>
  <si>
    <t>PT116Q01_Total_Active_Power</t>
  </si>
  <si>
    <t xml:space="preserve">Circulation Pump System Water Total Active Power </t>
  </si>
  <si>
    <t>power-tag/Circulation-Pump-System-Water</t>
  </si>
  <si>
    <t>PT116Q01_Total_Power_Factor</t>
  </si>
  <si>
    <t>Circulation Pump System Water Total Power Factor</t>
  </si>
  <si>
    <t>PT117Q01_Total_Active_Power</t>
  </si>
  <si>
    <t xml:space="preserve">Sea Water Cooling Pump 1 Total Active Power </t>
  </si>
  <si>
    <t>power-tag/Sea-Water-Cooling-Pump-1</t>
  </si>
  <si>
    <t>PT117Q01_Total_Power_Factor</t>
  </si>
  <si>
    <t>Sea Water Cooling Pump 1 Total Power Factor</t>
  </si>
  <si>
    <t>PT131Q01_Total_Active_Power</t>
  </si>
  <si>
    <t xml:space="preserve">Technical Space Ventilator - In Total Active Power </t>
  </si>
  <si>
    <t>power-tag/Technical-Space-Ventilator-In</t>
  </si>
  <si>
    <t>PT131Q01_Total_Power_Factor</t>
  </si>
  <si>
    <t>Technical Space Ventilator - In Total Power Factor</t>
  </si>
  <si>
    <t>PT133Q01_Total_Active_Power</t>
  </si>
  <si>
    <t xml:space="preserve">Fresh Air Unit Aft Ship Total Active Power </t>
  </si>
  <si>
    <t>power-tag/Fresh-Air-Unit-Aft-Ship</t>
  </si>
  <si>
    <t>PT133Q01_Total_Power_Factor</t>
  </si>
  <si>
    <t>Fresh Air Unit Aft Ship Total Power Factor</t>
  </si>
  <si>
    <t>PT134Q01_Total_Active_Power</t>
  </si>
  <si>
    <t xml:space="preserve">Extraction Unit Aft Ship Total Active Power </t>
  </si>
  <si>
    <t>power-tag/Extraction-Unit-Aft-Ship</t>
  </si>
  <si>
    <t>PT134Q01_Total_Power_Factor</t>
  </si>
  <si>
    <t>Extraction Unit Aft Ship Total Power Factor</t>
  </si>
  <si>
    <t>PT135Q01_Total_Active_Power</t>
  </si>
  <si>
    <t xml:space="preserve">Power Distr. Panel Aft -10P1 Total Active Power </t>
  </si>
  <si>
    <t>power-tag/Power-Distr-Panel-Aft-10P1</t>
  </si>
  <si>
    <t>PT135Q01_Total_Power_Factor</t>
  </si>
  <si>
    <t>Power Distr. Panel Aft -10P1 Total Power Factor</t>
  </si>
  <si>
    <t>PT136Q01_Total_Active_Power</t>
  </si>
  <si>
    <t xml:space="preserve">Dishwasher Total Active Power </t>
  </si>
  <si>
    <t>power-tag/Dishwasher</t>
  </si>
  <si>
    <t>PT136Q01_Total_Power_Factor</t>
  </si>
  <si>
    <t>Dishwasher Total Power Factor</t>
  </si>
  <si>
    <t>PT151Q01_Total_Active_Power</t>
  </si>
  <si>
    <t xml:space="preserve">Cooling Water Pump Main Propulsion Unit Total Active Power </t>
  </si>
  <si>
    <t>power-tag/Cooling-Water-Pump-Main-Propulsion-Unit</t>
  </si>
  <si>
    <t>PT151Q01_Total_Power_Factor</t>
  </si>
  <si>
    <t>Cooling Water Pump Main Propulsion Unit Total Power Factor</t>
  </si>
  <si>
    <t>PT155Q01_Total_Active_Power</t>
  </si>
  <si>
    <t xml:space="preserve">Compressor 1 Total Active Power </t>
  </si>
  <si>
    <t>power-tag/Compressor-1</t>
  </si>
  <si>
    <t>PT155Q01_Total_Power_Factor</t>
  </si>
  <si>
    <t>Compressor 1 Total Power Factor</t>
  </si>
  <si>
    <t>PT156Q01_Total_Active_Power</t>
  </si>
  <si>
    <t xml:space="preserve">Heat Recovery Pump Compression Chiller Total Active Power </t>
  </si>
  <si>
    <t>power-tag/Heat-Recovery-Pump-Compression-Chiller</t>
  </si>
  <si>
    <t>PT156Q01_Total_Power_Factor</t>
  </si>
  <si>
    <t>Heat Recovery Pump Compression Chiller Total Power Factor</t>
  </si>
  <si>
    <t>PT157Q01_Total_Active_Power</t>
  </si>
  <si>
    <t xml:space="preserve">Circulation Pump PVT Panles Fwd Total Active Power </t>
  </si>
  <si>
    <t>power-tag/Circulation-Pump-PVT-Panles-Fwd</t>
  </si>
  <si>
    <t>PT157Q01_Total_Power_Factor</t>
  </si>
  <si>
    <t>Circulation Pump PVT Panles Fwd Total Power Factor</t>
  </si>
  <si>
    <t>PT173Q01_Total_Active_Power</t>
  </si>
  <si>
    <t xml:space="preserve">Battery Room Ventilator PS Fwd Total Active Power </t>
  </si>
  <si>
    <t>power-tag/Battery-Room-Ventilator-PS-Fwd</t>
  </si>
  <si>
    <t>PT173Q01_Total_Power_Factor</t>
  </si>
  <si>
    <t>Battery Room Ventilator PS Fwd Total Power Factor</t>
  </si>
  <si>
    <t>PT174Q01_Total_Active_Power</t>
  </si>
  <si>
    <t xml:space="preserve">Battery Room Ventilator PS Aft Total Active Power </t>
  </si>
  <si>
    <t>power-tag/Battery-Room-Ventilator-PS-Aft</t>
  </si>
  <si>
    <t>PT174Q01_Total_Power_Factor</t>
  </si>
  <si>
    <t>Battery Room Ventilator PS Aft Total Power Factor</t>
  </si>
  <si>
    <t>Powertags2</t>
  </si>
  <si>
    <t>PT320F01_Total_Active_Power</t>
  </si>
  <si>
    <t>AC DISTR 10P0.3</t>
  </si>
  <si>
    <t xml:space="preserve">Sewage Treatment Plant Total Active Power </t>
  </si>
  <si>
    <t>power-tag/Sewage-Treatment-Plant</t>
  </si>
  <si>
    <t>PT320F01_Total_Power_Factor</t>
  </si>
  <si>
    <t>Sewage Treatment Plant Total Power Factor</t>
  </si>
  <si>
    <t>PT329F01_Total_Active_Power</t>
  </si>
  <si>
    <t>PT329F01_Total_Power_Factor</t>
  </si>
  <si>
    <t>PT330F01_Total_Active_Power</t>
  </si>
  <si>
    <t xml:space="preserve">AHU2000T Crew Mess Room Total Active Power </t>
  </si>
  <si>
    <t>power-tag/AHU2000T-Crew-Mess-Room</t>
  </si>
  <si>
    <t>PT330F01_Total_Power_Factor</t>
  </si>
  <si>
    <t>AHU2000T Crew Mess Room Total Power Factor</t>
  </si>
  <si>
    <t>PT337F01_Total_Active_Power</t>
  </si>
  <si>
    <t xml:space="preserve">Fwd Main Propulsion Unit Ac Heating Total Active Power </t>
  </si>
  <si>
    <t>power-tag/Fwd-Main-Propulsion-Unit-Ac-Heating</t>
  </si>
  <si>
    <t>PT337F01_Total_Power_Factor</t>
  </si>
  <si>
    <t>Fwd Main Propulsion Unit Ac Heating Total Power Factor</t>
  </si>
  <si>
    <t>PT338F01_Total_Active_Power</t>
  </si>
  <si>
    <t xml:space="preserve">Spare Total Active Power </t>
  </si>
  <si>
    <t>power-tag/Spare</t>
  </si>
  <si>
    <t>PT338F01_Total_Power_Factor</t>
  </si>
  <si>
    <t>Spare Total Power Factor</t>
  </si>
  <si>
    <t>PT339F01_Total_Active_Power</t>
  </si>
  <si>
    <t xml:space="preserve">Submersible Bilge Pump 3 Total Active Power </t>
  </si>
  <si>
    <t>power-tag/Submersible-Bilge-Pump-3</t>
  </si>
  <si>
    <t>PT339F01_Total_Power_Factor</t>
  </si>
  <si>
    <t>Submersible Bilge Pump 3 Total Power Factor</t>
  </si>
  <si>
    <t>PT342F01_Total_Active_Power</t>
  </si>
  <si>
    <t xml:space="preserve">Drain Tank Airco Total Active Power </t>
  </si>
  <si>
    <t>power-tag/Drain-Tank-Airco</t>
  </si>
  <si>
    <t>PT342F01_Total_Power_Factor</t>
  </si>
  <si>
    <t>Drain Tank Airco Total Power Factor</t>
  </si>
  <si>
    <t>PT352F01_Total_Active_Power</t>
  </si>
  <si>
    <t xml:space="preserve">Hydrophore 2 Total Active Power </t>
  </si>
  <si>
    <t>power-tag/Hydrophore-2</t>
  </si>
  <si>
    <t>PT352F01_Total_Power_Factor</t>
  </si>
  <si>
    <t>Hydrophore 2 Total Power Factor</t>
  </si>
  <si>
    <t>PT353F01_Total_Active_Power</t>
  </si>
  <si>
    <t xml:space="preserve">Chlorine Dosing Unit Total Active Power </t>
  </si>
  <si>
    <t>power-tag/Chlorine-Dosing-Unit</t>
  </si>
  <si>
    <t>PT353F01_Total_Power_Factor</t>
  </si>
  <si>
    <t>Chlorine Dosing Unit Total Power Factor</t>
  </si>
  <si>
    <t>PT361F01_Total_Active_Power</t>
  </si>
  <si>
    <t xml:space="preserve">Quooker Salon Total Active Power </t>
  </si>
  <si>
    <t>power-tag/Quooker-Salon</t>
  </si>
  <si>
    <t>PT361F01_Total_Power_Factor</t>
  </si>
  <si>
    <t>Quooker Salon Total Power Factor</t>
  </si>
  <si>
    <t>PT362F01_Total_Active_Power</t>
  </si>
  <si>
    <t xml:space="preserve">Main Salon Jb 2 Total Active Power </t>
  </si>
  <si>
    <t>power-tag/Main-Salon-Jb-2</t>
  </si>
  <si>
    <t>PT362F01_Total_Power_Factor</t>
  </si>
  <si>
    <t>Main Salon Jb 2 Total Power Factor</t>
  </si>
  <si>
    <t>PT363F01_Total_Active_Power</t>
  </si>
  <si>
    <t xml:space="preserve">Serv. Corridor Jb Total Active Power </t>
  </si>
  <si>
    <t>power-tag/Serv-Corridor-Jb</t>
  </si>
  <si>
    <t>PT363F01_Total_Power_Factor</t>
  </si>
  <si>
    <t>Serv. Corridor Jb Total Power Factor</t>
  </si>
  <si>
    <t>PT364F01_Total_Active_Power</t>
  </si>
  <si>
    <t xml:space="preserve">Galley Drain Pump Total Active Power </t>
  </si>
  <si>
    <t>power-tag/Galley-Drain-Pump</t>
  </si>
  <si>
    <t>PT364F01_Total_Power_Factor</t>
  </si>
  <si>
    <t>Galley Drain Pump Total Power Factor</t>
  </si>
  <si>
    <t>PT365F01_Total_Active_Power</t>
  </si>
  <si>
    <t xml:space="preserve">KVM Helmstation PS/SB Total Active Power </t>
  </si>
  <si>
    <t>power-tag/KVM-Helmstation-PS-SB</t>
  </si>
  <si>
    <t>PT365F01_Total_Power_Factor</t>
  </si>
  <si>
    <t>KVM Helmstation PS/SB Total Power Factor</t>
  </si>
  <si>
    <t>PT368F01_Total_Active_Power</t>
  </si>
  <si>
    <t xml:space="preserve">Underwater Lights SB (Group 1) Total Active Power </t>
  </si>
  <si>
    <t>power-tag/Underwater-Lights-SB-Group-1-</t>
  </si>
  <si>
    <t>PT368F01_Total_Power_Factor</t>
  </si>
  <si>
    <t>Underwater Lights SB (Group 1) Total Power Factor</t>
  </si>
  <si>
    <t>PT369F01_Total_Active_Power</t>
  </si>
  <si>
    <t xml:space="preserve">Underwater Lights SB (Group 2) Total Active Power </t>
  </si>
  <si>
    <t>power-tag/Underwater-Lights-SB-Group-2-</t>
  </si>
  <si>
    <t>PT369F01_Total_Power_Factor</t>
  </si>
  <si>
    <t>Underwater Lights SB (Group 2) Total Power Factor</t>
  </si>
  <si>
    <t>PT370F01_Total_Active_Power</t>
  </si>
  <si>
    <t xml:space="preserve">Lighting Technical Space Total Active Power </t>
  </si>
  <si>
    <t>power-tag/Lighting-Technical-Space</t>
  </si>
  <si>
    <t>PT370F01_Total_Power_Factor</t>
  </si>
  <si>
    <t>Lighting Technical Space Total Power Factor</t>
  </si>
  <si>
    <t>PT371F01_Total_Active_Power</t>
  </si>
  <si>
    <t xml:space="preserve">Fan Coil Engine Office Total Active Power </t>
  </si>
  <si>
    <t>power-tag/Fan-Coil-Engine-Office</t>
  </si>
  <si>
    <t>PT371F01_Total_Power_Factor</t>
  </si>
  <si>
    <t>Fan Coil Engine Office Total Power Factor</t>
  </si>
  <si>
    <t>PT376F01_Total_Active_Power</t>
  </si>
  <si>
    <t xml:space="preserve">Sockets Main Technical Space Total Active Power </t>
  </si>
  <si>
    <t>power-tag/Sockets-Main-Technical-Space</t>
  </si>
  <si>
    <t>PT376F01_Total_Power_Factor</t>
  </si>
  <si>
    <t>Sockets Main Technical Space Total Power Factor</t>
  </si>
  <si>
    <t>PT377F01_Total_Active_Power</t>
  </si>
  <si>
    <t xml:space="preserve">ECDIS 2 Total Active Power </t>
  </si>
  <si>
    <t>power-tag/ECDIS-2</t>
  </si>
  <si>
    <t>PT377F01_Total_Power_Factor</t>
  </si>
  <si>
    <t>ECDIS 2 Total Power Factor</t>
  </si>
  <si>
    <t>PT378F01_Total_Active_Power</t>
  </si>
  <si>
    <t xml:space="preserve">KVM Captains Cabin Ships Office Total Active Power </t>
  </si>
  <si>
    <t>power-tag/KVM-Captains-Cabin-Ships-Office</t>
  </si>
  <si>
    <t>PT378F01_Total_Power_Factor</t>
  </si>
  <si>
    <t>KVM Captains Cabin Ships Office Total Power Factor</t>
  </si>
  <si>
    <t>PT379F01_Total_Active_Power</t>
  </si>
  <si>
    <t xml:space="preserve">KVM Mission Room Nav/Comm Locker Fwd Rack Total Active Power </t>
  </si>
  <si>
    <t>power-tag/KVM-Mission-Room-Nav-Comm-Locker-Fwd-Rack</t>
  </si>
  <si>
    <t>PT379F01_Total_Power_Factor</t>
  </si>
  <si>
    <t>KVM Mission Room Nav/Comm Locker Fwd Rack Total Power Factor</t>
  </si>
  <si>
    <t>PT380F01_Total_Active_Power</t>
  </si>
  <si>
    <t xml:space="preserve">EREC 2 Power Supply Heat Recovery Total Active Power </t>
  </si>
  <si>
    <t>power-tag/EREC-2-Power-Supply-Heat-Recovery</t>
  </si>
  <si>
    <t>PT380F01_Total_Power_Factor</t>
  </si>
  <si>
    <t>EREC 2 Power Supply Heat Recovery Total Power Factor</t>
  </si>
  <si>
    <t>PT310Q01_Total_Active_Power</t>
  </si>
  <si>
    <t xml:space="preserve">Transfer Pump 2 Black Water Total Active Power </t>
  </si>
  <si>
    <t>power-tag/Transfer-Pump-2-Black-Water</t>
  </si>
  <si>
    <t>PT310Q01_Total_Power_Factor</t>
  </si>
  <si>
    <t>Transfer Pump 2 Black Water Total Power Factor</t>
  </si>
  <si>
    <t>PT311Q01_Total_Active_Power</t>
  </si>
  <si>
    <t xml:space="preserve">Transfer Pump 3 Greywater Total Active Power </t>
  </si>
  <si>
    <t>power-tag/Transfer-Pump-3-Greywater</t>
  </si>
  <si>
    <t>PT311Q01_Total_Power_Factor</t>
  </si>
  <si>
    <t>Transfer Pump 3 Greywater Total Power Factor</t>
  </si>
  <si>
    <t>PT312Q01_Total_Active_Power</t>
  </si>
  <si>
    <t xml:space="preserve">Dirty Oil Pump Total Active Power </t>
  </si>
  <si>
    <t>power-tag/Dirty-Oil-Pump</t>
  </si>
  <si>
    <t>PT312Q01_Total_Power_Factor</t>
  </si>
  <si>
    <t>Dirty Oil Pump Total Power Factor</t>
  </si>
  <si>
    <t>PT331Q01_Total_Active_Power</t>
  </si>
  <si>
    <t xml:space="preserve">Technical Space Ventilator - Out Total Active Power </t>
  </si>
  <si>
    <t>power-tag/Technical-Space-Ventilator-Out</t>
  </si>
  <si>
    <t>PT331Q01_Total_Power_Factor</t>
  </si>
  <si>
    <t>Technical Space Ventilator - Out Total Power Factor</t>
  </si>
  <si>
    <t>PT333Q01_Total_Active_Power</t>
  </si>
  <si>
    <t xml:space="preserve">Fresh Air Unit Fore Ship Total Active Power </t>
  </si>
  <si>
    <t>power-tag/Fresh-Air-Unit-Fore-Ship</t>
  </si>
  <si>
    <t>PT333Q01_Total_Power_Factor</t>
  </si>
  <si>
    <t>Fresh Air Unit Fore Ship Total Power Factor</t>
  </si>
  <si>
    <t>PT334Q01_Total_Active_Power</t>
  </si>
  <si>
    <t xml:space="preserve">Extraction Unit Fore Ship Total Active Power </t>
  </si>
  <si>
    <t>power-tag/Extraction-Unit-Fore-Ship</t>
  </si>
  <si>
    <t>PT334Q01_Total_Power_Factor</t>
  </si>
  <si>
    <t>Extraction Unit Fore Ship Total Power Factor</t>
  </si>
  <si>
    <t>PT335Q01_Total_Active_Power</t>
  </si>
  <si>
    <t xml:space="preserve"> Power Distr. Panel Galley - 10P2 Total Active Power </t>
  </si>
  <si>
    <t>power-tag/Power-Distr-Panel-Galley-10P2</t>
  </si>
  <si>
    <t>PT335Q01_Total_Power_Factor</t>
  </si>
  <si>
    <t xml:space="preserve"> Power Distr. Panel Galley - 10P2 Total Power Factor</t>
  </si>
  <si>
    <t>PT349Q01_Total_Active_Power</t>
  </si>
  <si>
    <t xml:space="preserve">Pressure Pump Total Active Power </t>
  </si>
  <si>
    <t>power-tag/Pressure-Pump</t>
  </si>
  <si>
    <t>PT349Q01_Total_Power_Factor</t>
  </si>
  <si>
    <t>Pressure Pump Total Power Factor</t>
  </si>
  <si>
    <t>PT350Q01_Total_Active_Power</t>
  </si>
  <si>
    <t xml:space="preserve">Chilled Water Pump Adsorption Unit Total Active Power </t>
  </si>
  <si>
    <t>power-tag/Chilled-Water-Pump-Adsorption-Unit</t>
  </si>
  <si>
    <t>PT350Q01_Total_Power_Factor</t>
  </si>
  <si>
    <t>Chilled Water Pump Adsorption Unit Total Power Factor</t>
  </si>
  <si>
    <t>PT351Q01_Total_Active_Power</t>
  </si>
  <si>
    <t xml:space="preserve">Cooling Water Pump Fwd Propulstion Unit Total Active Power </t>
  </si>
  <si>
    <t>power-tag/Cooling-Water-Pump-Fwd-Propulstion-Unit</t>
  </si>
  <si>
    <t>PT351Q01_Total_Power_Factor</t>
  </si>
  <si>
    <t>Cooling Water Pump Fwd Propulstion Unit Total Power Factor</t>
  </si>
  <si>
    <t>PT355Q01_Total_Active_Power</t>
  </si>
  <si>
    <t xml:space="preserve">Compressor 2 Total Active Power </t>
  </si>
  <si>
    <t>power-tag/Compressor-2</t>
  </si>
  <si>
    <t>PT355Q01_Total_Power_Factor</t>
  </si>
  <si>
    <t>Compressor 2 Total Power Factor</t>
  </si>
  <si>
    <t>PT356Q01_Total_Active_Power</t>
  </si>
  <si>
    <t xml:space="preserve">Circulation Pump Warm Water Adsorption Unit Total Active Power </t>
  </si>
  <si>
    <t>power-tag/Circulation-Pump-Warm-Water-Adsorption-Unit</t>
  </si>
  <si>
    <t>PT356Q01_Total_Power_Factor</t>
  </si>
  <si>
    <t>Circulation Pump Warm Water Adsorption Unit Total Power Factor</t>
  </si>
  <si>
    <t>PT357Q01_Total_Active_Power</t>
  </si>
  <si>
    <t xml:space="preserve">Cooling Water Pump Adsorption Unit Total Active Power </t>
  </si>
  <si>
    <t>power-tag/Cooling-Water-Pump-Adsorption-Unit</t>
  </si>
  <si>
    <t>PT357Q01_Total_Power_Factor</t>
  </si>
  <si>
    <t>Cooling Water Pump Adsorption Unit Total Power Factor</t>
  </si>
  <si>
    <t>PT358Q01_Total_Active_Power</t>
  </si>
  <si>
    <t xml:space="preserve">Circulation Pump PVT Panels Aft Total Active Power </t>
  </si>
  <si>
    <t>power-tag/Circulation-Pump-PVT-Panels-Aft</t>
  </si>
  <si>
    <t>PT358Q01_Total_Power_Factor</t>
  </si>
  <si>
    <t>Circulation Pump PVT Panels Aft Total Power Factor</t>
  </si>
  <si>
    <t>PT359Q01_Total_Active_Power</t>
  </si>
  <si>
    <t xml:space="preserve">Circ. Pump Heat. Water Fresh Hotwater System Total Active Power </t>
  </si>
  <si>
    <t>power-tag/Circ-Pump-Heat-Water-Fresh-Hotwater-System</t>
  </si>
  <si>
    <t>PT359Q01_Total_Power_Factor</t>
  </si>
  <si>
    <t>Circ. Pump Heat. Water Fresh Hotwater System Total Power Factor</t>
  </si>
  <si>
    <t>PT360Q01_Total_Active_Power</t>
  </si>
  <si>
    <t xml:space="preserve">Circ. Pump Cooling Water Electrical System Total Active Power </t>
  </si>
  <si>
    <t>power-tag/Circ-Pump-Cooling-Water-Electrical-System</t>
  </si>
  <si>
    <t>PT360Q01_Total_Power_Factor</t>
  </si>
  <si>
    <t>Circ. Pump Cooling Water Electrical System Total Power Factor</t>
  </si>
  <si>
    <t>PT374Q01_Total_Active_Power</t>
  </si>
  <si>
    <t xml:space="preserve">Battery Room Ventilator SB Fwd Total Active Power </t>
  </si>
  <si>
    <t>power-tag/Battery-Room-Ventilator-SB-Fwd</t>
  </si>
  <si>
    <t>PT374Q01_Total_Power_Factor</t>
  </si>
  <si>
    <t>Battery Room Ventilator SB Fwd Total Power Factor</t>
  </si>
  <si>
    <t>PT375Q01_Total_Active_Power</t>
  </si>
  <si>
    <t xml:space="preserve">Battery Room Ventilator SB Aft Total Active Power </t>
  </si>
  <si>
    <t>power-tag/Battery-Room-Ventilator-SB-Aft</t>
  </si>
  <si>
    <t>PT375Q01_Total_Power_Factor</t>
  </si>
  <si>
    <t>Battery Room Ventilator SB Aft Total Power Factor</t>
  </si>
  <si>
    <t>PT376Q01_Total_Active_Power</t>
  </si>
  <si>
    <t xml:space="preserve">Welding Socket Lazarette Total Active Power </t>
  </si>
  <si>
    <t>power-tag/Welding-Socket-Lazarette</t>
  </si>
  <si>
    <t>PT376Q01_Total_Power_Factor</t>
  </si>
  <si>
    <t>Welding Socket Lazarette Total Power Factor</t>
  </si>
  <si>
    <t>Powertags3</t>
  </si>
  <si>
    <t>PT10F01_Total_Active_Power</t>
  </si>
  <si>
    <t>AC DISTR 10P1</t>
  </si>
  <si>
    <t>PT10F01_Total_Power_Factor</t>
  </si>
  <si>
    <t>PT11F01_Total_Active_Power</t>
  </si>
  <si>
    <t>PT11F01_Total_Power_Factor</t>
  </si>
  <si>
    <t>PT12F01_Total_Active_Power</t>
  </si>
  <si>
    <t>PT12F01_Total_Power_Factor</t>
  </si>
  <si>
    <t>PT19F01_Total_Active_Power</t>
  </si>
  <si>
    <t xml:space="preserve">Ventilator Aft Peak Total Active Power </t>
  </si>
  <si>
    <t>power-tag/Ventilator-Aft-Peak</t>
  </si>
  <si>
    <t>PT19F01_Total_Power_Factor</t>
  </si>
  <si>
    <t>Ventilator Aft Peak Total Power Factor</t>
  </si>
  <si>
    <t>PT20F01_Total_Active_Power</t>
  </si>
  <si>
    <t xml:space="preserve">Ventilator Bilge Aft Ship Total Active Power </t>
  </si>
  <si>
    <t>power-tag/Ventilator-Bilge-Aft-Ship</t>
  </si>
  <si>
    <t>PT20F01_Total_Power_Factor</t>
  </si>
  <si>
    <t>Ventilator Bilge Aft Ship Total Power Factor</t>
  </si>
  <si>
    <t>PT21F01_Total_Active_Power</t>
  </si>
  <si>
    <t xml:space="preserve">FCU: Deck Lounge Guest Cabin Aft SB Total Active Power </t>
  </si>
  <si>
    <t>power-tag/FCU-Deck-Lounge-Guest-Cabin-Aft-SB</t>
  </si>
  <si>
    <t>PT21F01_Total_Power_Factor</t>
  </si>
  <si>
    <t>FCU: Deck Lounge Guest Cabin Aft SB Total Power Factor</t>
  </si>
  <si>
    <t>PT22F01_Total_Active_Power</t>
  </si>
  <si>
    <t xml:space="preserve">FCU: Technical Space Total Active Power </t>
  </si>
  <si>
    <t>power-tag/FCU-Technical-Space</t>
  </si>
  <si>
    <t>PT22F01_Total_Power_Factor</t>
  </si>
  <si>
    <t>FCU: Technical Space Total Power Factor</t>
  </si>
  <si>
    <t>PT23F01_Total_Active_Power</t>
  </si>
  <si>
    <t xml:space="preserve">FCU: Guest Cabin Fwd PS Guest Cabin Aft PS Total Active Power </t>
  </si>
  <si>
    <t>power-tag/FCU-Guest-Cabin-Fwd-PS-Guest-Cabin-Aft-PS</t>
  </si>
  <si>
    <t>PT23F01_Total_Power_Factor</t>
  </si>
  <si>
    <t>FCU: Guest Cabin Fwd PS Guest Cabin Aft PS Total Power Factor</t>
  </si>
  <si>
    <t>PT24F01_Total_Active_Power</t>
  </si>
  <si>
    <t xml:space="preserve">FCU: Owners Bath.(Hers) Owners State Room PS Total Active Power </t>
  </si>
  <si>
    <t>power-tag/FCU-Owners-Bath-Hers-Owners-State-Room-PS</t>
  </si>
  <si>
    <t>PT24F01_Total_Power_Factor</t>
  </si>
  <si>
    <t>FCU: Owners Bath.(Hers) Owners State Room PS Total Power Factor</t>
  </si>
  <si>
    <t>PT25F01_Total_Active_Power</t>
  </si>
  <si>
    <t xml:space="preserve">FCU: Owners Bath.(His) Owners State Room SB Total Active Power </t>
  </si>
  <si>
    <t>power-tag/FCU-Owners-Bath-His-Owners-State-Room-SB</t>
  </si>
  <si>
    <t>PT25F01_Total_Power_Factor</t>
  </si>
  <si>
    <t>FCU: Owners Bath.(His) Owners State Room SB Total Power Factor</t>
  </si>
  <si>
    <t>PT26F01_Total_Active_Power</t>
  </si>
  <si>
    <t xml:space="preserve">FCU: Ships Office Watersport Storage Total Active Power </t>
  </si>
  <si>
    <t>power-tag/FCU-Ships-Office-Watersport-Storage</t>
  </si>
  <si>
    <t>PT26F01_Total_Power_Factor</t>
  </si>
  <si>
    <t>FCU: Ships Office Watersport Storage Total Power Factor</t>
  </si>
  <si>
    <t>PT27F01_Total_Active_Power</t>
  </si>
  <si>
    <t xml:space="preserve">FCU: Owners Deckh. Dining Main Salon Lounge Total Active Power </t>
  </si>
  <si>
    <t>power-tag/FCU-Owners-Deckh-Dining-Main-Salon-Lounge</t>
  </si>
  <si>
    <t>PT27F01_Total_Power_Factor</t>
  </si>
  <si>
    <t>FCU: Owners Deckh. Dining Main Salon Lounge Total Power Factor</t>
  </si>
  <si>
    <t>PT28F01_Total_Active_Power</t>
  </si>
  <si>
    <t xml:space="preserve">AHU1500 Aft Area Total Active Power </t>
  </si>
  <si>
    <t>power-tag/AHU1500-Aft-Area</t>
  </si>
  <si>
    <t>PT28F01_Total_Power_Factor</t>
  </si>
  <si>
    <t>AHU1500 Aft Area Total Power Factor</t>
  </si>
  <si>
    <t>PT29F01_Total_Active_Power</t>
  </si>
  <si>
    <t xml:space="preserve">Discharge Pump Mast Total Active Power </t>
  </si>
  <si>
    <t>power-tag/Discharge-Pump-Mast</t>
  </si>
  <si>
    <t>PT29F01_Total_Power_Factor</t>
  </si>
  <si>
    <t>Discharge Pump Mast Total Power Factor</t>
  </si>
  <si>
    <t>PT30F01_Total_Active_Power</t>
  </si>
  <si>
    <t xml:space="preserve">Lights Technical Area Total Active Power </t>
  </si>
  <si>
    <t>power-tag/Lights-Technical-Area</t>
  </si>
  <si>
    <t>PT30F01_Total_Power_Factor</t>
  </si>
  <si>
    <t>Lights Technical Area Total Power Factor</t>
  </si>
  <si>
    <t>PT31F01_Total_Active_Power</t>
  </si>
  <si>
    <t xml:space="preserve">Outlets Guest Cabin 2 Total Active Power </t>
  </si>
  <si>
    <t>power-tag/Outlets-Guest-Cabin-2</t>
  </si>
  <si>
    <t>PT31F01_Total_Power_Factor</t>
  </si>
  <si>
    <t>Outlets Guest Cabin 2 Total Power Factor</t>
  </si>
  <si>
    <t>PT32F01_Total_Active_Power</t>
  </si>
  <si>
    <t xml:space="preserve">Outlets Guest Cabin 3 Total Active Power </t>
  </si>
  <si>
    <t>power-tag/Outlets-Guest-Cabin-3</t>
  </si>
  <si>
    <t>PT32F01_Total_Power_Factor</t>
  </si>
  <si>
    <t>Outlets Guest Cabin 3 Total Power Factor</t>
  </si>
  <si>
    <t>PT33F01_Total_Active_Power</t>
  </si>
  <si>
    <t xml:space="preserve">Outlets Owner - EMP125 Total Active Power </t>
  </si>
  <si>
    <t>power-tag/Outlets-Owner-EMP125</t>
  </si>
  <si>
    <t>PT33F01_Total_Power_Factor</t>
  </si>
  <si>
    <t>Outlets Owner - EMP125 Total Power Factor</t>
  </si>
  <si>
    <t>PT34F01_Total_Active_Power</t>
  </si>
  <si>
    <t xml:space="preserve">Outlets Owner - EMP126 Total Active Power </t>
  </si>
  <si>
    <t>power-tag/Outlets-Owner-EMP126</t>
  </si>
  <si>
    <t>PT34F01_Total_Power_Factor</t>
  </si>
  <si>
    <t>Outlets Owner - EMP126 Total Power Factor</t>
  </si>
  <si>
    <t>PT35F01_Total_Active_Power</t>
  </si>
  <si>
    <t xml:space="preserve">Outlets Guest Cabin 4 - EMP124 Total Active Power </t>
  </si>
  <si>
    <t>power-tag/Outlets-Guest-Cabin-4-EMP124</t>
  </si>
  <si>
    <t>PT35F01_Total_Power_Factor</t>
  </si>
  <si>
    <t>Outlets Guest Cabin 4 - EMP124 Total Power Factor</t>
  </si>
  <si>
    <t>PT36F01_Total_Active_Power</t>
  </si>
  <si>
    <t xml:space="preserve">Outlets Lower Deck Lounge - EMP121 Total Active Power </t>
  </si>
  <si>
    <t>power-tag/Outlets-Lower-Deck-Lounge-EMP121</t>
  </si>
  <si>
    <t>PT36F01_Total_Power_Factor</t>
  </si>
  <si>
    <t>Outlets Lower Deck Lounge - EMP121 Total Power Factor</t>
  </si>
  <si>
    <t>PT37F01_Total_Active_Power</t>
  </si>
  <si>
    <t xml:space="preserve">Outlets Owner Private Lounge - EMP220 Total Active Power </t>
  </si>
  <si>
    <t>power-tag/Outlets-Owner-Private-Lounge-EMP220</t>
  </si>
  <si>
    <t>PT37F01_Total_Power_Factor</t>
  </si>
  <si>
    <t>Outlets Owner Private Lounge - EMP220 Total Power Factor</t>
  </si>
  <si>
    <t>PT38F01_Total_Active_Power</t>
  </si>
  <si>
    <t xml:space="preserve">KNX Supply - EMP121 Total Active Power </t>
  </si>
  <si>
    <t>power-tag/KNX-Supply-EMP121</t>
  </si>
  <si>
    <t>PT38F01_Total_Power_Factor</t>
  </si>
  <si>
    <t>KNX Supply - EMP121 Total Power Factor</t>
  </si>
  <si>
    <t>PT39F01_Total_Active_Power</t>
  </si>
  <si>
    <t xml:space="preserve">Supply Greenwall Total Active Power </t>
  </si>
  <si>
    <t>power-tag/Supply-Greenwall</t>
  </si>
  <si>
    <t>PT39F01_Total_Power_Factor</t>
  </si>
  <si>
    <t>Supply Greenwall Total Power Factor</t>
  </si>
  <si>
    <t>PT40F01_Total_Active_Power</t>
  </si>
  <si>
    <t>PT40F01_Total_Power_Factor</t>
  </si>
  <si>
    <t>PT41F01_Total_Active_Power</t>
  </si>
  <si>
    <t>PT41F01_Total_Power_Factor</t>
  </si>
  <si>
    <t>PT60F01_Total_Active_Power</t>
  </si>
  <si>
    <t xml:space="preserve">Starlink Total Active Power </t>
  </si>
  <si>
    <t>power-tag/Starlink</t>
  </si>
  <si>
    <t>PT60F01_Total_Power_Factor</t>
  </si>
  <si>
    <t>Starlink Total Power Factor</t>
  </si>
  <si>
    <t>PT61F01_Total_Active_Power</t>
  </si>
  <si>
    <t xml:space="preserve">Diving Compressor Total Active Power </t>
  </si>
  <si>
    <t>power-tag/Diving-Compressor</t>
  </si>
  <si>
    <t>PT61F01_Total_Power_Factor</t>
  </si>
  <si>
    <t>Diving Compressor Total Power Factor</t>
  </si>
  <si>
    <t>PT62F01_Total_Active_Power</t>
  </si>
  <si>
    <t xml:space="preserve">Burglar Alarm System Total Active Power </t>
  </si>
  <si>
    <t>power-tag/Burglar-Alarm-System</t>
  </si>
  <si>
    <t>PT62F01_Total_Power_Factor</t>
  </si>
  <si>
    <t>Burglar Alarm System Total Power Factor</t>
  </si>
  <si>
    <t>PT63F01_Total_Active_Power</t>
  </si>
  <si>
    <t xml:space="preserve">AV System Supply #1 Total Active Power </t>
  </si>
  <si>
    <t>power-tag/AV-System-Supply-1</t>
  </si>
  <si>
    <t>PT63F01_Total_Power_Factor</t>
  </si>
  <si>
    <t>AV System Supply #1 Total Power Factor</t>
  </si>
  <si>
    <t>PT64F01_Total_Active_Power</t>
  </si>
  <si>
    <t xml:space="preserve">Sliding Window Private Salon Total Active Power </t>
  </si>
  <si>
    <t>power-tag/Sliding-Window-Private-Salon</t>
  </si>
  <si>
    <t>PT64F01_Total_Power_Factor</t>
  </si>
  <si>
    <t>Sliding Window Private Salon Total Power Factor</t>
  </si>
  <si>
    <t>Powertags4</t>
  </si>
  <si>
    <t>AC DISTR 10P2</t>
  </si>
  <si>
    <t xml:space="preserve">Induction Cooktop Galley Total Active Power </t>
  </si>
  <si>
    <t>power-tag/Induction-Cooktop-Galley</t>
  </si>
  <si>
    <t>Induction Cooktop Galley Total Power Factor</t>
  </si>
  <si>
    <t xml:space="preserve">Dishwasher Galley-1 Total Active Power </t>
  </si>
  <si>
    <t>power-tag/Dishwasher-Galley-1</t>
  </si>
  <si>
    <t>Dishwasher Galley-1 Total Power Factor</t>
  </si>
  <si>
    <t xml:space="preserve">Dishwasher Galley-2 Total Active Power </t>
  </si>
  <si>
    <t>power-tag/Dishwasher-Galley-2</t>
  </si>
  <si>
    <t>Dishwasher Galley-2 Total Power Factor</t>
  </si>
  <si>
    <t>PT13F01_Total_Active_Power</t>
  </si>
  <si>
    <t xml:space="preserve">Oven Galley Total Active Power </t>
  </si>
  <si>
    <t>power-tag/Oven-Galley</t>
  </si>
  <si>
    <t>PT13F01_Total_Power_Factor</t>
  </si>
  <si>
    <t>Oven Galley Total Power Factor</t>
  </si>
  <si>
    <t>PT14F01_Total_Active_Power</t>
  </si>
  <si>
    <t xml:space="preserve">Steam Oven Galley Total Active Power </t>
  </si>
  <si>
    <t>power-tag/Steam-Oven-Galley</t>
  </si>
  <si>
    <t>PT14F01_Total_Power_Factor</t>
  </si>
  <si>
    <t>Steam Oven Galley Total Power Factor</t>
  </si>
  <si>
    <t>PT15F01_Total_Active_Power</t>
  </si>
  <si>
    <t xml:space="preserve">Quooker Service Sink Galley Total Active Power </t>
  </si>
  <si>
    <t>power-tag/Quooker-Service-Sink-Galley</t>
  </si>
  <si>
    <t>PT15F01_Total_Power_Factor</t>
  </si>
  <si>
    <t>Quooker Service Sink Galley Total Power Factor</t>
  </si>
  <si>
    <t>PT16F01_Total_Active_Power</t>
  </si>
  <si>
    <t xml:space="preserve">Quooker Chef Sink Galley Total Active Power </t>
  </si>
  <si>
    <t>power-tag/Quooker-Chef-Sink-Galley</t>
  </si>
  <si>
    <t>PT16F01_Total_Power_Factor</t>
  </si>
  <si>
    <t>Quooker Chef Sink Galley Total Power Factor</t>
  </si>
  <si>
    <t>PT17F01_Total_Active_Power</t>
  </si>
  <si>
    <t xml:space="preserve">Galley JB-1 Total Active Power </t>
  </si>
  <si>
    <t>power-tag/Galley-JB-1</t>
  </si>
  <si>
    <t>PT17F01_Total_Power_Factor</t>
  </si>
  <si>
    <t>Galley JB-1 Total Power Factor</t>
  </si>
  <si>
    <t>PT18F01_Total_Active_Power</t>
  </si>
  <si>
    <t xml:space="preserve">Galley JB-2 Total Active Power </t>
  </si>
  <si>
    <t>power-tag/Galley-JB-2</t>
  </si>
  <si>
    <t>PT18F01_Total_Power_Factor</t>
  </si>
  <si>
    <t>Galley JB-2 Total Power Factor</t>
  </si>
  <si>
    <t xml:space="preserve">Walk In Freezer Total Active Power </t>
  </si>
  <si>
    <t>power-tag/Walk-In-Freezer</t>
  </si>
  <si>
    <t>Walk In Freezer Total Power Factor</t>
  </si>
  <si>
    <t xml:space="preserve">Fridge Total Active Power </t>
  </si>
  <si>
    <t>power-tag/Fridge</t>
  </si>
  <si>
    <t>Fridge Total Power Factor</t>
  </si>
  <si>
    <t xml:space="preserve">Compressor Fridge System Total Active Power </t>
  </si>
  <si>
    <t>power-tag/Compressor-Fridge-System</t>
  </si>
  <si>
    <t>Compressor Fridge System Total Power Factor</t>
  </si>
  <si>
    <t xml:space="preserve">Compressor Freeze System Total Active Power </t>
  </si>
  <si>
    <t>power-tag/Compressor-Freeze-System</t>
  </si>
  <si>
    <t>Compressor Freeze System Total Power Factor</t>
  </si>
  <si>
    <t xml:space="preserve">Socket Circuit 2 Total Active Power </t>
  </si>
  <si>
    <t>power-tag/Socket-Circuit-2</t>
  </si>
  <si>
    <t>Socket Circuit 2 Total Power Factor</t>
  </si>
  <si>
    <t xml:space="preserve">Socket Circuit 3 Total Active Power </t>
  </si>
  <si>
    <t>power-tag/Socket-Circuit-3</t>
  </si>
  <si>
    <t>Socket Circuit 3 Total Power Factor</t>
  </si>
  <si>
    <t xml:space="preserve">Evaporator Fridge System Total Active Power </t>
  </si>
  <si>
    <t>power-tag/Evaporator-Fridge-System</t>
  </si>
  <si>
    <t>Evaporator Fridge System Total Power Factor</t>
  </si>
  <si>
    <t xml:space="preserve">Evaporator Freeze System Total Active Power </t>
  </si>
  <si>
    <t>power-tag/Evaporator-Freeze-System</t>
  </si>
  <si>
    <t>Evaporator Freeze System Total Power Factor</t>
  </si>
  <si>
    <t xml:space="preserve">Circulation Pump Cooling Set Total Active Power </t>
  </si>
  <si>
    <t>power-tag/Circulation-Pump-Cooling-Set</t>
  </si>
  <si>
    <t>Circulation Pump Cooling Set Total Power Factor</t>
  </si>
  <si>
    <t xml:space="preserve">Drain Pump Galley Total Active Power </t>
  </si>
  <si>
    <t>power-tag/Drain-Pump-Galley</t>
  </si>
  <si>
    <t>Drain Pump Galley Total Power Factor</t>
  </si>
  <si>
    <t>PT50F01_Total_Active_Power</t>
  </si>
  <si>
    <t xml:space="preserve">FCU: Galley Aft Total Active Power </t>
  </si>
  <si>
    <t>power-tag/FCU-Galley-Aft</t>
  </si>
  <si>
    <t>PT50F01_Total_Power_Factor</t>
  </si>
  <si>
    <t>FCU: Galley Aft Total Power Factor</t>
  </si>
  <si>
    <t>PT50F02_Total_Active_Power</t>
  </si>
  <si>
    <t xml:space="preserve">FCU: Galley Fwd Total Active Power </t>
  </si>
  <si>
    <t>power-tag/FCU-Galley-Fwd</t>
  </si>
  <si>
    <t>PT50F02_Total_Power_Factor</t>
  </si>
  <si>
    <t>FCU: Galley Fwd Total Power Factor</t>
  </si>
  <si>
    <t>PT53F01_Total_Active_Power</t>
  </si>
  <si>
    <t xml:space="preserve">Galley Hood Total Active Power </t>
  </si>
  <si>
    <t>power-tag/Galley-Hood</t>
  </si>
  <si>
    <t>PT53F01_Total_Power_Factor</t>
  </si>
  <si>
    <t>Galley Hood Total Power Factor</t>
  </si>
  <si>
    <t xml:space="preserve">Outlets Galley - EMP 111 Total Active Power </t>
  </si>
  <si>
    <t>power-tag/Outlets-Galley-EMP-111</t>
  </si>
  <si>
    <t>Outlets Galley - EMP 111 Total Power Factor</t>
  </si>
  <si>
    <t>Powertags5</t>
  </si>
  <si>
    <t>AC DISTR 10P3</t>
  </si>
  <si>
    <t xml:space="preserve">Washer-1 Total Active Power </t>
  </si>
  <si>
    <t>power-tag/Washer-1</t>
  </si>
  <si>
    <t>Washer-1 Total Power Factor</t>
  </si>
  <si>
    <t xml:space="preserve">Washer-2 Total Active Power </t>
  </si>
  <si>
    <t>power-tag/Washer-2</t>
  </si>
  <si>
    <t>Washer-2 Total Power Factor</t>
  </si>
  <si>
    <t xml:space="preserve">Dishwasher Crew Mess Total Active Power </t>
  </si>
  <si>
    <t>power-tag/Dishwasher-Crew-Mess</t>
  </si>
  <si>
    <t>Dishwasher Crew Mess Total Power Factor</t>
  </si>
  <si>
    <t xml:space="preserve">Dryer-1 and Dryer-2 Total Active Power </t>
  </si>
  <si>
    <t>power-tag/Dryer-1-and-Dryer-2</t>
  </si>
  <si>
    <t>Dryer-1 and Dryer-2 Total Power Factor</t>
  </si>
  <si>
    <t xml:space="preserve">Sockets Crew Cabins PS Total Active Power </t>
  </si>
  <si>
    <t>power-tag/Sockets-Crew-Cabins-PS</t>
  </si>
  <si>
    <t>Sockets Crew Cabins PS Total Power Factor</t>
  </si>
  <si>
    <t xml:space="preserve">Sockets Crew Cabins SB Total Active Power </t>
  </si>
  <si>
    <t>power-tag/Sockets-Crew-Cabins-SB</t>
  </si>
  <si>
    <t>Sockets Crew Cabins SB Total Power Factor</t>
  </si>
  <si>
    <t xml:space="preserve">MFHF SSB (Main Supply) Total Active Power </t>
  </si>
  <si>
    <t>power-tag/MFHF-SSB-Main-Supply-</t>
  </si>
  <si>
    <t>MFHF SSB (Main Supply) Total Power Factor</t>
  </si>
  <si>
    <t xml:space="preserve">Sliding Door Crew Corridor Total Active Power </t>
  </si>
  <si>
    <t>power-tag/Sliding-Door-Crew-Corridor</t>
  </si>
  <si>
    <t>Sliding Door Crew Corridor Total Power Factor</t>
  </si>
  <si>
    <t xml:space="preserve">Crew Mess JB Total Active Power </t>
  </si>
  <si>
    <t>power-tag/Crew-Mess-JB</t>
  </si>
  <si>
    <t>Crew Mess JB Total Power Factor</t>
  </si>
  <si>
    <t xml:space="preserve">Interiour Siding Door Galley Fwd Total Active Power </t>
  </si>
  <si>
    <t>power-tag/Interiour-Siding-Door-Galley-Fwd</t>
  </si>
  <si>
    <t>Interiour Siding Door Galley Fwd Total Power Factor</t>
  </si>
  <si>
    <t xml:space="preserve">Interiour Siding Door Galley Aft Total Active Power </t>
  </si>
  <si>
    <t>power-tag/Interiour-Siding-Door-Galley-Aft</t>
  </si>
  <si>
    <t>Interiour Siding Door Galley Aft Total Power Factor</t>
  </si>
  <si>
    <t xml:space="preserve">Main Companion Way Door System Total Active Power </t>
  </si>
  <si>
    <t>power-tag/Main-Companion-Way-Door-System</t>
  </si>
  <si>
    <t>Main Companion Way Door System Total Power Factor</t>
  </si>
  <si>
    <t xml:space="preserve">Entrance Door Aft Deckhouse Total Active Power </t>
  </si>
  <si>
    <t>power-tag/Entrance-Door-Aft-Deckhouse</t>
  </si>
  <si>
    <t>Entrance Door Aft Deckhouse Total Power Factor</t>
  </si>
  <si>
    <t xml:space="preserve">Door Crew Entrance Total Active Power </t>
  </si>
  <si>
    <t>power-tag/Door-Crew-Entrance</t>
  </si>
  <si>
    <t>Door Crew Entrance Total Power Factor</t>
  </si>
  <si>
    <t xml:space="preserve">Discharge Pump Crew SB Aft/Mid Total Active Power </t>
  </si>
  <si>
    <t>power-tag/Discharge-Pump-Crew-SB-Aft-Mid</t>
  </si>
  <si>
    <t>Discharge Pump Crew SB Aft/Mid Total Power Factor</t>
  </si>
  <si>
    <t xml:space="preserve">Discharge Pump Crew PS Mid/Sb Fwd Total Active Power </t>
  </si>
  <si>
    <t>power-tag/Discharge-Pump-Crew-PS-Mid-Sb-Fwd</t>
  </si>
  <si>
    <t>Discharge Pump Crew PS Mid/Sb Fwd Total Power Factor</t>
  </si>
  <si>
    <t xml:space="preserve">Circulation Pump Wall &amp; Ceiling Cooling Aft Total Active Power </t>
  </si>
  <si>
    <t>power-tag/Circulation-Pump-Wall-Ceiling-Cooling-Aft</t>
  </si>
  <si>
    <t>Circulation Pump Wall &amp; Ceiling Cooling Aft Total Power Factor</t>
  </si>
  <si>
    <t xml:space="preserve">Circulation Pump Wall &amp; Ceiling Cooling Fwd Total Active Power </t>
  </si>
  <si>
    <t>power-tag/Circulation-Pump-Wall-Ceiling-Cooling-Fwd</t>
  </si>
  <si>
    <t>Circulation Pump Wall &amp; Ceiling Cooling Fwd Total Power Factor</t>
  </si>
  <si>
    <t xml:space="preserve">Wall &amp; Ceiling Cooling Pump Section 2 Total Active Power </t>
  </si>
  <si>
    <t>power-tag/Wall-Ceiling-Cooling-Pump-Section-2</t>
  </si>
  <si>
    <t>Wall &amp; Ceiling Cooling Pump Section 2 Total Power Factor</t>
  </si>
  <si>
    <t xml:space="preserve">Wall &amp; Ceiling Cooling Pump Section 4 Total Active Power </t>
  </si>
  <si>
    <t>power-tag/Wall-Ceiling-Cooling-Pump-Section-4</t>
  </si>
  <si>
    <t>Wall &amp; Ceiling Cooling Pump Section 4 Total Power Factor</t>
  </si>
  <si>
    <t xml:space="preserve">Wall &amp; Ceiling Cooling Pump Section 5 Total Active Power </t>
  </si>
  <si>
    <t>power-tag/Wall-Ceiling-Cooling-Pump-Section-5</t>
  </si>
  <si>
    <t>Wall &amp; Ceiling Cooling Pump Section 5 Total Power Factor</t>
  </si>
  <si>
    <t xml:space="preserve">Toilet Guest Cabin PS Fwd Total Active Power </t>
  </si>
  <si>
    <t>power-tag/Toilet-Guest-Cabin-PS-Fwd</t>
  </si>
  <si>
    <t>Toilet Guest Cabin PS Fwd Total Power Factor</t>
  </si>
  <si>
    <t xml:space="preserve">To Overflow Cabin Total Active Power </t>
  </si>
  <si>
    <t>power-tag/To-Overflow-Cabin</t>
  </si>
  <si>
    <t>To Overflow Cabin Total Power Factor</t>
  </si>
  <si>
    <t xml:space="preserve">Toilet Captains Cabin Total Active Power </t>
  </si>
  <si>
    <t>power-tag/Toilet-Captains-Cabin</t>
  </si>
  <si>
    <t>Toilet Captains Cabin Total Power Factor</t>
  </si>
  <si>
    <t xml:space="preserve">Toilet Crew Cabin SB Aft Total Active Power </t>
  </si>
  <si>
    <t>power-tag/Toilet-Crew-Cabin-SB-Aft</t>
  </si>
  <si>
    <t>Toilet Crew Cabin SB Aft Total Power Factor</t>
  </si>
  <si>
    <t xml:space="preserve">Toilet Crew Cabin SB Mid Total Active Power </t>
  </si>
  <si>
    <t>power-tag/Toilet-Crew-Cabin-SB-Mid</t>
  </si>
  <si>
    <t>Toilet Crew Cabin SB Mid Total Power Factor</t>
  </si>
  <si>
    <t xml:space="preserve">Toilet Crew Cabin PS Mid Total Active Power </t>
  </si>
  <si>
    <t>power-tag/Toilet-Crew-Cabin-PS-Mid</t>
  </si>
  <si>
    <t>Toilet Crew Cabin PS Mid Total Power Factor</t>
  </si>
  <si>
    <t xml:space="preserve">Toilet Crew Cabin SB Fwd Total Active Power </t>
  </si>
  <si>
    <t>power-tag/Toilet-Crew-Cabin-SB-Fwd</t>
  </si>
  <si>
    <t>Toilet Crew Cabin SB Fwd Total Power Factor</t>
  </si>
  <si>
    <t xml:space="preserve">Toilet Crew Cabin PS Fwd Total Active Power </t>
  </si>
  <si>
    <t>power-tag/Toilet-Crew-Cabin-PS-Fwd</t>
  </si>
  <si>
    <t>Toilet Crew Cabin PS Fwd Total Power Factor</t>
  </si>
  <si>
    <t xml:space="preserve">Lighting Aft Ship Total Active Power </t>
  </si>
  <si>
    <t>power-tag/Lighting-Aft-Ship</t>
  </si>
  <si>
    <t>Lighting Aft Ship Total Power Factor</t>
  </si>
  <si>
    <t xml:space="preserve">Lighting Fore Ship (Section 5) Total Active Power </t>
  </si>
  <si>
    <t>power-tag/Lighting-Fore-Ship-Section-5-</t>
  </si>
  <si>
    <t>Lighting Fore Ship (Section 5) Total Power Factor</t>
  </si>
  <si>
    <t xml:space="preserve">Lighting Fore Ship (Section 4) Total Active Power </t>
  </si>
  <si>
    <t>power-tag/Lighting-Fore-Ship-Section-4-</t>
  </si>
  <si>
    <t>Lighting Fore Ship (Section 4) Total Power Factor</t>
  </si>
  <si>
    <t>PT42F01_Total_Active_Power</t>
  </si>
  <si>
    <t xml:space="preserve">Spare (Lighting) Total Active Power </t>
  </si>
  <si>
    <t>power-tag/Spare-Lighting-</t>
  </si>
  <si>
    <t>PT42F01_Total_Power_Factor</t>
  </si>
  <si>
    <t>Spare (Lighting) Total Power Factor</t>
  </si>
  <si>
    <t>PT51F01_Total_Active_Power</t>
  </si>
  <si>
    <t xml:space="preserve">Ventilator Fore Peak Total Active Power </t>
  </si>
  <si>
    <t>power-tag/Ventilator-Fore-Peak</t>
  </si>
  <si>
    <t>PT51F01_Total_Power_Factor</t>
  </si>
  <si>
    <t>Ventilator Fore Peak Total Power Factor</t>
  </si>
  <si>
    <t>PT52F01_Total_Active_Power</t>
  </si>
  <si>
    <t xml:space="preserve">Ventilator Bilge Fore Ship Total Active Power </t>
  </si>
  <si>
    <t>power-tag/Ventilator-Bilge-Fore-Ship</t>
  </si>
  <si>
    <t>PT52F01_Total_Power_Factor</t>
  </si>
  <si>
    <t>Ventilator Bilge Fore Ship Total Power Factor</t>
  </si>
  <si>
    <t xml:space="preserve">FCU Guest Fwd Cabin PS Total Active Power </t>
  </si>
  <si>
    <t>power-tag/FCU-Guest-Fwd-Cabin-PS</t>
  </si>
  <si>
    <t>FCU Guest Fwd Cabin PS Total Power Factor</t>
  </si>
  <si>
    <t>PT54F01_Total_Active_Power</t>
  </si>
  <si>
    <t xml:space="preserve">FCU Overflow Bathroom Total Active Power </t>
  </si>
  <si>
    <t>power-tag/FCU-Overflow-Bathroom</t>
  </si>
  <si>
    <t>PT54F01_Total_Power_Factor</t>
  </si>
  <si>
    <t>FCU Overflow Bathroom Total Power Factor</t>
  </si>
  <si>
    <t>PT55F01_Total_Active_Power</t>
  </si>
  <si>
    <t xml:space="preserve">FCU: Laundry Captain Cabin Crew Cabin Mid PS Total Active Power </t>
  </si>
  <si>
    <t>power-tag/FCU-Laundry-Captain-Cabin-Crew-Cabin-Mid-PS</t>
  </si>
  <si>
    <t>PT55F01_Total_Power_Factor</t>
  </si>
  <si>
    <t>FCU: Laundry Captain Cabin Crew Cabin Mid PS Total Power Factor</t>
  </si>
  <si>
    <t>PT56F01_Total_Active_Power</t>
  </si>
  <si>
    <t xml:space="preserve">FCU: Crew Mess Crew Cabin Aft Sb Crew Cabin Mid SB Total Active Power </t>
  </si>
  <si>
    <t>power-tag/FCU-Crew-Mess-Crew-Cabin-Aft-Sb-Crew-Cabin-Mid-SB</t>
  </si>
  <si>
    <t>PT56F01_Total_Power_Factor</t>
  </si>
  <si>
    <t>FCU: Crew Mess Crew Cabin Aft Sb Crew Cabin Mid SB Total Power Factor</t>
  </si>
  <si>
    <t>PT57F01_Total_Active_Power</t>
  </si>
  <si>
    <t xml:space="preserve">FCU: Crew Cabin Fwd Ps Crew Cabin Fwd SB Total Active Power </t>
  </si>
  <si>
    <t>power-tag/FCU-Crew-Cabin-Fwd-Ps-Crew-Cabin-Fwd-SB</t>
  </si>
  <si>
    <t>PT57F01_Total_Power_Factor</t>
  </si>
  <si>
    <t>FCU: Crew Cabin Fwd Ps Crew Cabin Fwd SB Total Power Factor</t>
  </si>
  <si>
    <t>PT58F01_Total_Active_Power</t>
  </si>
  <si>
    <t xml:space="preserve">FCU: Main Salon Bar Total Active Power </t>
  </si>
  <si>
    <t>power-tag/FCU-Main-Salon-Bar</t>
  </si>
  <si>
    <t>PT58F01_Total_Power_Factor</t>
  </si>
  <si>
    <t>FCU: Main Salon Bar Total Power Factor</t>
  </si>
  <si>
    <t>PT70F01_Total_Active_Power</t>
  </si>
  <si>
    <t xml:space="preserve">Discharge Pumps-8/9/10 Total Active Power </t>
  </si>
  <si>
    <t>power-tag/Discharge-Pumps-8-9-10</t>
  </si>
  <si>
    <t>PT70F01_Total_Power_Factor</t>
  </si>
  <si>
    <t>Discharge Pumps-8/9/10 Total Power Factor</t>
  </si>
  <si>
    <t>PT80F01_Total_Active_Power</t>
  </si>
  <si>
    <t xml:space="preserve">Lights Technical Areas - 901JB003 Total Active Power </t>
  </si>
  <si>
    <t>power-tag/Lights-Technical-Areas-901JB003</t>
  </si>
  <si>
    <t>PT80F01_Total_Power_Factor</t>
  </si>
  <si>
    <t>Lights Technical Areas - 901JB003 Total Power Factor</t>
  </si>
  <si>
    <t>PT81F01_Total_Active_Power</t>
  </si>
  <si>
    <t xml:space="preserve">Lights Technical Areas - EMP109 Total Active Power </t>
  </si>
  <si>
    <t>power-tag/Lights-Technical-Areas-EMP109</t>
  </si>
  <si>
    <t>PT81F01_Total_Power_Factor</t>
  </si>
  <si>
    <t>Lights Technical Areas - EMP109 Total Power Factor</t>
  </si>
  <si>
    <t>PT82F01_Total_Active_Power</t>
  </si>
  <si>
    <t xml:space="preserve">Outlets Crew Cabin 1 - EMP101 Total Active Power </t>
  </si>
  <si>
    <t>power-tag/Outlets-Crew-Cabin-1-EMP101</t>
  </si>
  <si>
    <t>PT82F01_Total_Power_Factor</t>
  </si>
  <si>
    <t>Outlets Crew Cabin 1 - EMP101 Total Power Factor</t>
  </si>
  <si>
    <t>PT83F01_Total_Active_Power</t>
  </si>
  <si>
    <t xml:space="preserve">Outlets Crew Cabin 2 - EMP102 Total Active Power </t>
  </si>
  <si>
    <t>power-tag/Outlets-Crew-Cabin-2-EMP102</t>
  </si>
  <si>
    <t>PT83F01_Total_Power_Factor</t>
  </si>
  <si>
    <t>Outlets Crew Cabin 2 - EMP102 Total Power Factor</t>
  </si>
  <si>
    <t>PT84F01_Total_Active_Power</t>
  </si>
  <si>
    <t xml:space="preserve">Outlets Crew Cabin 3 - EMP103 Total Active Power </t>
  </si>
  <si>
    <t>power-tag/Outlets-Crew-Cabin-3-EMP103</t>
  </si>
  <si>
    <t>PT84F01_Total_Power_Factor</t>
  </si>
  <si>
    <t>Outlets Crew Cabin 3 - EMP103 Total Power Factor</t>
  </si>
  <si>
    <t>PT85F01_Total_Active_Power</t>
  </si>
  <si>
    <t xml:space="preserve">Outlets Crew Cabin 4 - EMP104 Total Active Power </t>
  </si>
  <si>
    <t>power-tag/Outlets-Crew-Cabin-4-EMP104</t>
  </si>
  <si>
    <t>PT85F01_Total_Power_Factor</t>
  </si>
  <si>
    <t>Outlets Crew Cabin 4 - EMP104 Total Power Factor</t>
  </si>
  <si>
    <t>PT86F01_Total_Active_Power</t>
  </si>
  <si>
    <t xml:space="preserve">Outlets Captains Cabin - EMP105 Total Active Power </t>
  </si>
  <si>
    <t>power-tag/Outlets-Captains-Cabin-EMP105</t>
  </si>
  <si>
    <t>PT86F01_Total_Power_Factor</t>
  </si>
  <si>
    <t>Outlets Captains Cabin - EMP105 Total Power Factor</t>
  </si>
  <si>
    <t>PT87F01_Total_Active_Power</t>
  </si>
  <si>
    <t xml:space="preserve">Outlets Crew Cabin 5 - EMP106 Total Active Power </t>
  </si>
  <si>
    <t>power-tag/Outlets-Crew-Cabin-5-EMP106</t>
  </si>
  <si>
    <t>PT87F01_Total_Power_Factor</t>
  </si>
  <si>
    <t>Outlets Crew Cabin 5 - EMP106 Total Power Factor</t>
  </si>
  <si>
    <t>PT88F01_Total_Active_Power</t>
  </si>
  <si>
    <t xml:space="preserve">Outlets Laundry - EMP108 Total Active Power </t>
  </si>
  <si>
    <t>power-tag/Outlets-Laundry-EMP108</t>
  </si>
  <si>
    <t>PT88F01_Total_Power_Factor</t>
  </si>
  <si>
    <t>Outlets Laundry - EMP108 Total Power Factor</t>
  </si>
  <si>
    <t>PT89F01_Total_Active_Power</t>
  </si>
  <si>
    <t xml:space="preserve">Outlets Crew Lounge - EMP108 Total Active Power </t>
  </si>
  <si>
    <t>power-tag/Outlets-Crew-Lounge-EMP108</t>
  </si>
  <si>
    <t>PT89F01_Total_Power_Factor</t>
  </si>
  <si>
    <t>Outlets Crew Lounge - EMP108 Total Power Factor</t>
  </si>
  <si>
    <t>PT90F01_Total_Active_Power</t>
  </si>
  <si>
    <t xml:space="preserve">Outlets Crew Mess - EMP109 Total Active Power </t>
  </si>
  <si>
    <t>power-tag/Outlets-Crew-Mess-EMP109</t>
  </si>
  <si>
    <t>PT90F01_Total_Power_Factor</t>
  </si>
  <si>
    <t>Outlets Crew Mess - EMP109 Total Power Factor</t>
  </si>
  <si>
    <t>PT91F01_Total_Active_Power</t>
  </si>
  <si>
    <t xml:space="preserve">Outlets Guest Cabin 1 - EMP112 Total Active Power </t>
  </si>
  <si>
    <t>power-tag/Outlets-Guest-Cabin-1-EMP112</t>
  </si>
  <si>
    <t>PT91F01_Total_Power_Factor</t>
  </si>
  <si>
    <t>Outlets Guest Cabin 1 - EMP112 Total Power Factor</t>
  </si>
  <si>
    <t>PT92F01_Total_Active_Power</t>
  </si>
  <si>
    <t xml:space="preserve">Outlets Dining - EMP202 Total Active Power </t>
  </si>
  <si>
    <t>power-tag/Outlets-Dining-EMP202</t>
  </si>
  <si>
    <t>PT92F01_Total_Power_Factor</t>
  </si>
  <si>
    <t>Outlets Dining - EMP202 Total Power Factor</t>
  </si>
  <si>
    <t>PT93F01_Total_Active_Power</t>
  </si>
  <si>
    <t xml:space="preserve">Outlets Salon - EMP201 Total Active Power </t>
  </si>
  <si>
    <t>power-tag/Outlets-Salon-EMP201</t>
  </si>
  <si>
    <t>PT93F01_Total_Power_Factor</t>
  </si>
  <si>
    <t>Outlets Salon - EMP201 Total Power Factor</t>
  </si>
  <si>
    <t>PT94F01_Total_Active_Power</t>
  </si>
  <si>
    <t xml:space="preserve">EMP110 Total Active Power </t>
  </si>
  <si>
    <t>power-tag/EMP110</t>
  </si>
  <si>
    <t>PT94F01_Total_Power_Factor</t>
  </si>
  <si>
    <t>EMP110 Total Power Factor</t>
  </si>
  <si>
    <t>PT95F01_Total_Active_Power</t>
  </si>
  <si>
    <t xml:space="preserve">EMP113 Total Active Power </t>
  </si>
  <si>
    <t>power-tag/EMP113</t>
  </si>
  <si>
    <t>PT95F01_Total_Power_Factor</t>
  </si>
  <si>
    <t>EMP113 Total Power Factor</t>
  </si>
  <si>
    <t>PT98F01_Total_Active_Power</t>
  </si>
  <si>
    <t xml:space="preserve">KNX Supply Total Active Power </t>
  </si>
  <si>
    <t>power-tag/KNX-Supply</t>
  </si>
  <si>
    <t>PT98F01_Total_Power_Factor</t>
  </si>
  <si>
    <t>KNX Supply Total Power Factor</t>
  </si>
  <si>
    <t>PT99F01_Total_Active_Power</t>
  </si>
  <si>
    <t xml:space="preserve">AV System Supply #2 Total Active Power </t>
  </si>
  <si>
    <t>power-tag/AV-System-Supply-2</t>
  </si>
  <si>
    <t>PT99F01_Total_Power_Factor</t>
  </si>
  <si>
    <t>AV System Supply #2 Total Power Factor</t>
  </si>
  <si>
    <t>PT111F01_Total_Active_Power</t>
  </si>
  <si>
    <t xml:space="preserve">Discharge Pump Captain/Laundry Total Active Power </t>
  </si>
  <si>
    <t>power-tag/Discharge-Pump-Captain-Laundry</t>
  </si>
  <si>
    <t>PT111F01_Total_Power_Factor</t>
  </si>
  <si>
    <t>Discharge Pump Captain/Laundry Total Power Factor</t>
  </si>
  <si>
    <t>PT59Q01_Total_Active_Power</t>
  </si>
  <si>
    <t xml:space="preserve">AHU2000T Crew Messroom Total Active Power </t>
  </si>
  <si>
    <t>power-tag/AHU2000T-Crew-Messroom</t>
  </si>
  <si>
    <t>PT59Q01_Total_Power_Factor</t>
  </si>
  <si>
    <t>AHU2000T Crew Messroom Total Power Factor</t>
  </si>
  <si>
    <t>R2.8</t>
  </si>
  <si>
    <t>450000 24VDC SYSTEM</t>
  </si>
  <si>
    <t>V</t>
  </si>
  <si>
    <t>A</t>
  </si>
  <si>
    <t>DB_GEN_SERVICE_14E1_VOLTAGE</t>
  </si>
  <si>
    <t>DB_GEN_SERVICE_14E1_CURRENT</t>
  </si>
  <si>
    <t>24 Vdc DB General Serivce 14E1 Voltage Measurement</t>
  </si>
  <si>
    <t>24 Vdc DB General Service 14E1 Current Measurement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</si>
</sst>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19"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s>
  <fills count="1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37">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0" fillId="8" borderId="5" xfId="0" applyFill="1" applyBorder="1" applyAlignment="1">
      <alignment horizontal="center"/>
    </xf>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9990"/>
  <sheetViews>
    <sheetView tabSelected="1" topLeftCell="B1" zoomScale="85" zoomScaleNormal="85" workbookViewId="0">
      <pane ySplit="2" topLeftCell="A401" activePane="bottomLeft" state="frozen"/>
      <selection activeCell="E1" sqref="E1"/>
      <selection pane="bottomLeft" activeCell="P432" sqref="P432"/>
    </sheetView>
  </sheetViews>
  <sheetFormatPr defaultColWidth="8.85546875" defaultRowHeight="15" x14ac:dyDescent="0.25"/>
  <cols>
    <col min="1" max="1" width="9.7109375" style="51" customWidth="1"/>
    <col min="2" max="2" width="13.28515625" style="53" customWidth="1"/>
    <col min="3" max="3" width="18" style="54" customWidth="1"/>
    <col min="4" max="4" width="20" style="54" customWidth="1"/>
    <col min="5" max="5" width="8.140625" style="54" customWidth="1"/>
    <col min="6" max="6" width="16.85546875" style="54" customWidth="1"/>
    <col min="7" max="7" width="7.28515625" style="54" customWidth="1"/>
    <col min="8" max="8" width="6.85546875" style="54" customWidth="1"/>
    <col min="9" max="9" width="6.85546875" style="10" customWidth="1"/>
    <col min="10" max="10" width="49.7109375" style="11" customWidth="1"/>
    <col min="11" max="11" width="21.7109375" style="58"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07" t="s">
        <v>47</v>
      </c>
      <c r="B1" s="108" t="s">
        <v>48</v>
      </c>
      <c r="C1" s="108" t="s">
        <v>49</v>
      </c>
      <c r="D1" s="108" t="s">
        <v>50</v>
      </c>
      <c r="E1" s="108" t="s">
        <v>51</v>
      </c>
      <c r="F1" s="108" t="s">
        <v>52</v>
      </c>
      <c r="G1" s="108" t="s">
        <v>53</v>
      </c>
      <c r="H1" s="112" t="s">
        <v>54</v>
      </c>
      <c r="I1" s="113" t="s">
        <v>55</v>
      </c>
      <c r="J1" s="114" t="s">
        <v>56</v>
      </c>
      <c r="K1" s="109" t="s">
        <v>3</v>
      </c>
      <c r="L1" s="110" t="s">
        <v>64</v>
      </c>
      <c r="M1" s="111"/>
      <c r="N1" s="108" t="s">
        <v>57</v>
      </c>
      <c r="O1" s="108" t="s">
        <v>58</v>
      </c>
      <c r="P1" s="108" t="s">
        <v>59</v>
      </c>
      <c r="Q1" s="108" t="s">
        <v>60</v>
      </c>
      <c r="R1" s="108" t="s">
        <v>61</v>
      </c>
      <c r="S1" s="108" t="s">
        <v>62</v>
      </c>
      <c r="T1" s="116" t="s">
        <v>63</v>
      </c>
      <c r="U1" s="116"/>
      <c r="V1" s="116"/>
      <c r="W1" s="118" t="s">
        <v>438</v>
      </c>
      <c r="X1" s="119"/>
      <c r="Y1" s="119"/>
      <c r="Z1" s="120"/>
      <c r="AA1" s="117" t="s">
        <v>27</v>
      </c>
      <c r="AB1" s="117"/>
      <c r="AC1" s="117"/>
      <c r="AD1" s="117"/>
      <c r="AE1" s="117"/>
      <c r="AF1" s="117"/>
      <c r="AG1" s="117"/>
      <c r="AH1" s="117"/>
      <c r="AI1" s="121" t="s">
        <v>65</v>
      </c>
      <c r="AJ1" s="121"/>
      <c r="AK1" s="114" t="s">
        <v>66</v>
      </c>
      <c r="AL1" s="114" t="s">
        <v>67</v>
      </c>
      <c r="AM1" s="115" t="s">
        <v>68</v>
      </c>
      <c r="AN1" s="123" t="s">
        <v>69</v>
      </c>
      <c r="AO1" s="123"/>
      <c r="AP1" s="123"/>
      <c r="AQ1" s="123"/>
      <c r="AR1" s="123"/>
      <c r="AS1" s="108" t="s">
        <v>70</v>
      </c>
      <c r="AT1" s="108" t="s">
        <v>71</v>
      </c>
      <c r="AU1" s="108" t="s">
        <v>72</v>
      </c>
      <c r="AV1" s="108" t="s">
        <v>73</v>
      </c>
      <c r="AW1" s="122" t="s">
        <v>74</v>
      </c>
      <c r="AX1" s="126" t="s">
        <v>75</v>
      </c>
      <c r="AY1" s="112" t="s">
        <v>76</v>
      </c>
      <c r="AZ1" s="112" t="s">
        <v>77</v>
      </c>
      <c r="BA1" s="112" t="s">
        <v>78</v>
      </c>
      <c r="BB1" s="112" t="s">
        <v>79</v>
      </c>
      <c r="BC1" s="125" t="s">
        <v>80</v>
      </c>
      <c r="BD1" s="125"/>
      <c r="BE1" s="125"/>
      <c r="BF1" s="125" t="s">
        <v>81</v>
      </c>
      <c r="BG1" s="125"/>
      <c r="BH1" s="125"/>
      <c r="BI1" s="125" t="s">
        <v>82</v>
      </c>
      <c r="BJ1" s="125"/>
      <c r="BK1" s="125"/>
      <c r="BL1" s="125" t="s">
        <v>83</v>
      </c>
      <c r="BM1" s="125"/>
      <c r="BN1" s="125"/>
      <c r="BO1" s="125" t="s">
        <v>84</v>
      </c>
      <c r="BP1" s="125"/>
      <c r="BQ1" s="125"/>
      <c r="BR1" s="115" t="s">
        <v>85</v>
      </c>
      <c r="BS1" s="112" t="s">
        <v>86</v>
      </c>
      <c r="BT1" s="127" t="s">
        <v>87</v>
      </c>
      <c r="BU1" s="124" t="s">
        <v>88</v>
      </c>
      <c r="BV1" s="124" t="s">
        <v>89</v>
      </c>
    </row>
    <row r="2" spans="1:74" ht="124.5" customHeight="1" x14ac:dyDescent="0.25">
      <c r="A2" s="107"/>
      <c r="B2" s="108"/>
      <c r="C2" s="108"/>
      <c r="D2" s="108"/>
      <c r="E2" s="108"/>
      <c r="F2" s="108"/>
      <c r="G2" s="108"/>
      <c r="H2" s="112"/>
      <c r="I2" s="113"/>
      <c r="J2" s="114"/>
      <c r="K2" s="109"/>
      <c r="L2" s="97" t="s">
        <v>93</v>
      </c>
      <c r="M2" s="97" t="s">
        <v>94</v>
      </c>
      <c r="N2" s="108"/>
      <c r="O2" s="108"/>
      <c r="P2" s="108"/>
      <c r="Q2" s="108"/>
      <c r="R2" s="108"/>
      <c r="S2" s="108"/>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14"/>
      <c r="AL2" s="114"/>
      <c r="AM2" s="115"/>
      <c r="AN2" s="18" t="s">
        <v>103</v>
      </c>
      <c r="AO2" s="18" t="s">
        <v>104</v>
      </c>
      <c r="AP2" s="18" t="s">
        <v>105</v>
      </c>
      <c r="AQ2" s="18" t="s">
        <v>106</v>
      </c>
      <c r="AR2" s="18" t="s">
        <v>107</v>
      </c>
      <c r="AS2" s="108"/>
      <c r="AT2" s="108"/>
      <c r="AU2" s="108"/>
      <c r="AV2" s="108"/>
      <c r="AW2" s="122"/>
      <c r="AX2" s="126"/>
      <c r="AY2" s="112"/>
      <c r="AZ2" s="112"/>
      <c r="BA2" s="112"/>
      <c r="BB2" s="112"/>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5"/>
      <c r="BS2" s="112"/>
      <c r="BT2" s="127"/>
      <c r="BU2" s="124"/>
      <c r="BV2" s="124"/>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"pvt/" &amp; LOWER(_xlfn.REGEXREPLACE(_xlfn.REGEXREPLACE(_xlfn.REGEXREPLACE(TRIM(_xlfn.REGEXREPLACE(P3, " (RMS (Current|Voltage) .+)|(Active Power Phase [ABC])|(Total Active Power)|(Power Factor .+)|(Total Power Factor) *", "")), "[ /\(\)&amp;:\.#]", "-"), "\-+", "-"), "-$", ""))</f>
        <v>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"shore/" &amp; LOWER(_xlfn.REGEXREPLACE(_xlfn.REGEXREPLACE(_xlfn.REGEXREPLACE(TRIM(_xlfn.REGEXREPLACE(P9, " (RMS (Current|Voltage) .+)|(Active Power Phase [ABC])|(Total Active Power)|(Power Factor .+)|(Total Power Factor) *", "")), "[ /\(\)&amp;:\.#]", "-"), "\-+", "-"), "-$", ""))</f>
        <v>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"shore/" &amp; LOWER(_xlfn.REGEXREPLACE(_xlfn.REGEXREPLACE(_xlfn.REGEXREPLACE(TRIM(_xlfn.REGEXREPLACE(P10, " (RMS (Current|Voltage) .+)|(Active Power Phase [ABC])|(Total Active Power)|(Power Factor .+)|(Total Power Factor) *", "")), "[ /\(\)&amp;:\.#]", "-"), "\-+", "-"), "-$", ""))</f>
        <v>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"hydro/" &amp; LOWER(_xlfn.REGEXREPLACE(_xlfn.REGEXREPLACE(_xlfn.REGEXREPLACE(TRIM(_xlfn.REGEXREPLACE(P11, " (RMS (Current|Voltage) .+)|(Active Power Phase [ABC])|(Total Active Power)|(Power Factor .+)|(Total Power Factor) *", "")), "[ /\(\)&amp;:\.#]", "-"), "\-+", "-"), "-$", ""))</f>
        <v>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"hydro/" &amp; LOWER(_xlfn.REGEXREPLACE(_xlfn.REGEXREPLACE(_xlfn.REGEXREPLACE(TRIM(_xlfn.REGEXREPLACE(P12, " (RMS (Current|Voltage) .+)|(Active Power Phase [ABC])|(Total Active Power)|(Power Factor .+)|(Total Power Factor) *", "")), "[ /\(\)&amp;:\.#]", "-"), "\-+", "-"), "-$", ""))</f>
        <v>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"hydro/" &amp; LOWER(_xlfn.REGEXREPLACE(_xlfn.REGEXREPLACE(_xlfn.REGEXREPLACE(TRIM(_xlfn.REGEXREPLACE(P13, " (RMS (Current|Voltage) .+)|(Active Power Phase [ABC])|(Total Active Power)|(Power Factor .+)|(Total Power Factor) *", "")), "[ /\(\)&amp;:\.#]", "-"), "\-+", "-"), "-$", ""))</f>
        <v>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"hydro/" &amp; LOWER(_xlfn.REGEXREPLACE(_xlfn.REGEXREPLACE(_xlfn.REGEXREPLACE(TRIM(_xlfn.REGEXREPLACE(P14, " (RMS (Current|Voltage) .+)|(Active Power Phase [ABC])|(Total Active Power)|(Power Factor .+)|(Total Power Factor) *", "")), "[ /\(\)&amp;:\.#]", "-"), "\-+", "-"), "-$", ""))</f>
        <v>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"battery-dc-converter/" &amp; LOWER(_xlfn.REGEXREPLACE(_xlfn.REGEXREPLACE(_xlfn.REGEXREPLACE(TRIM(_xlfn.REGEXREPLACE(P15, " ([Voltage|Current]* side [A|B]) *", "")), "[ /\(\)&amp;:\.#]", "-"), "\-+", "-"), "-$", ""))</f>
        <v>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0">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1">IF(COUNTIF(N16,"spare"),"","Mqtt1")</f>
        <v>Mqtt1</v>
      </c>
      <c r="X16" s="103"/>
      <c r="Y16" s="6" t="str">
        <f t="shared" ref="Y16:Y22" si="12">"battery-dc-converter/" &amp; LOWER(_xlfn.REGEXREPLACE(_xlfn.REGEXREPLACE(_xlfn.REGEXREPLACE(TRIM(_xlfn.REGEXREPLACE(P16, " ([Voltage|Current]* side [A|B]) *", "")), "[ /\(\)&amp;:\.#]", "-"), "\-+", "-"), "-$", ""))</f>
        <v>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2"/>
        <v>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2"/>
        <v>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2"/>
        <v>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2"/>
        <v>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2"/>
        <v>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2"/>
        <v>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 t="shared" ref="Y23:Y24" si="21">"bms-master/" &amp; LOWER(_xlfn.REGEXREPLACE(_xlfn.REGEXREPLACE(_xlfn.REGEXREPLACE(TRIM(_xlfn.REGEXREPLACE(P23, " (Stored [power|energy]*) *", "")), "[ /\(\)&amp;:\.#]", "-"), "\-+", "-"), "-$", ""))</f>
        <v>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2">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3">IF(COUNTIF(N24,"spare"),"","Mqtt1")</f>
        <v>Mqtt1</v>
      </c>
      <c r="X24" s="103"/>
      <c r="Y24" s="6" t="str">
        <f t="shared" si="21"/>
        <v>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4">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449</v>
      </c>
      <c r="B25" s="52"/>
      <c r="C25" s="7" t="s">
        <v>118</v>
      </c>
      <c r="D25" s="7" t="s">
        <v>510</v>
      </c>
      <c r="E25" s="7"/>
      <c r="F25" s="55"/>
      <c r="G25" s="6"/>
      <c r="H25" s="6"/>
      <c r="I25" s="10" t="s">
        <v>110</v>
      </c>
      <c r="J25" s="11" t="s">
        <v>511</v>
      </c>
      <c r="K25" s="102" t="s">
        <v>512</v>
      </c>
      <c r="L25" s="98"/>
      <c r="M25" s="98">
        <v>1000</v>
      </c>
      <c r="N25" s="60" t="s">
        <v>513</v>
      </c>
      <c r="O25" s="88"/>
      <c r="P25" s="60" t="s">
        <v>514</v>
      </c>
      <c r="Q25" s="60"/>
      <c r="R25" s="60"/>
      <c r="S25" s="89"/>
      <c r="T25" s="106"/>
      <c r="U25" s="88"/>
      <c r="V25" s="91"/>
      <c r="W25" s="12" t="s">
        <v>515</v>
      </c>
      <c r="X25" s="103"/>
      <c r="Y25" s="6" t="s">
        <v>516</v>
      </c>
      <c r="Z25" s="64" t="s">
        <v>517</v>
      </c>
      <c r="AA25" s="12">
        <v>1</v>
      </c>
      <c r="AB25" s="6" t="s">
        <v>148</v>
      </c>
      <c r="AC25" s="64">
        <v>3060</v>
      </c>
      <c r="AJ25" s="60"/>
      <c r="AK25" s="67" t="s">
        <v>518</v>
      </c>
      <c r="AN25" s="60"/>
      <c r="AO25" s="60"/>
      <c r="AP25" s="60"/>
      <c r="AQ25" s="60"/>
      <c r="AR25" s="72"/>
      <c r="AS25" s="60"/>
      <c r="AT25" s="7"/>
      <c r="AU25" s="7"/>
      <c r="AV25" s="92"/>
      <c r="AW25" s="93"/>
      <c r="AX25" s="77"/>
      <c r="AY25" s="80"/>
      <c r="AZ25" s="94"/>
      <c r="BA25" s="94"/>
      <c r="BB25" s="80" t="s">
        <v>519</v>
      </c>
      <c r="BC25" s="95"/>
      <c r="BD25" s="92"/>
      <c r="BE25" s="92"/>
      <c r="BF25" s="92"/>
      <c r="BG25" s="92"/>
      <c r="BH25" s="92"/>
      <c r="BI25" s="92"/>
      <c r="BJ25" s="92"/>
      <c r="BK25" s="92"/>
      <c r="BL25" s="92"/>
      <c r="BM25" s="92"/>
      <c r="BN25" s="92"/>
      <c r="BO25" s="92"/>
      <c r="BP25" s="92"/>
      <c r="BQ25" s="92"/>
      <c r="BS25" s="6"/>
      <c r="BT25" s="11"/>
      <c r="BU25" s="6"/>
      <c r="BV25" s="6"/>
    </row>
    <row r="26" spans="1:74" ht="15.75" x14ac:dyDescent="0.25">
      <c r="A26" s="50" t="s">
        <v>449</v>
      </c>
      <c r="B26" s="52"/>
      <c r="C26" s="7" t="s">
        <v>118</v>
      </c>
      <c r="D26" s="7" t="s">
        <v>510</v>
      </c>
      <c r="E26" s="7"/>
      <c r="F26" s="55"/>
      <c r="G26" s="6"/>
      <c r="H26" s="6"/>
      <c r="I26" s="10" t="s">
        <v>110</v>
      </c>
      <c r="J26" s="11" t="s">
        <v>520</v>
      </c>
      <c r="K26" s="102" t="s">
        <v>512</v>
      </c>
      <c r="L26" s="98"/>
      <c r="M26" s="98">
        <v>1000</v>
      </c>
      <c r="N26" s="60" t="s">
        <v>513</v>
      </c>
      <c r="O26" s="88"/>
      <c r="P26" s="60" t="s">
        <v>521</v>
      </c>
      <c r="Q26" s="60"/>
      <c r="R26" s="60"/>
      <c r="S26" s="89"/>
      <c r="T26" s="106"/>
      <c r="U26" s="88"/>
      <c r="V26" s="91"/>
      <c r="W26" s="12" t="s">
        <v>515</v>
      </c>
      <c r="X26" s="103"/>
      <c r="Y26" s="6" t="s">
        <v>516</v>
      </c>
      <c r="Z26" s="64" t="s">
        <v>522</v>
      </c>
      <c r="AA26" s="12">
        <v>1</v>
      </c>
      <c r="AB26" s="6" t="s">
        <v>148</v>
      </c>
      <c r="AC26" s="64">
        <v>3084</v>
      </c>
      <c r="AJ26" s="60"/>
      <c r="AK26" s="67" t="s">
        <v>450</v>
      </c>
      <c r="AN26" s="60"/>
      <c r="AO26" s="60"/>
      <c r="AP26" s="60"/>
      <c r="AQ26" s="60"/>
      <c r="AR26" s="72"/>
      <c r="AS26" s="60"/>
      <c r="AT26" s="7"/>
      <c r="AU26" s="7"/>
      <c r="AV26" s="92"/>
      <c r="AW26" s="93"/>
      <c r="AX26" s="77"/>
      <c r="AY26" s="80"/>
      <c r="AZ26" s="94"/>
      <c r="BA26" s="94"/>
      <c r="BB26" s="80" t="s">
        <v>519</v>
      </c>
      <c r="BC26" s="95"/>
      <c r="BD26" s="92"/>
      <c r="BE26" s="92"/>
      <c r="BF26" s="92"/>
      <c r="BG26" s="92"/>
      <c r="BH26" s="92"/>
      <c r="BI26" s="92"/>
      <c r="BJ26" s="92"/>
      <c r="BK26" s="92"/>
      <c r="BL26" s="92"/>
      <c r="BM26" s="92"/>
      <c r="BN26" s="92"/>
      <c r="BO26" s="92"/>
      <c r="BP26" s="92"/>
      <c r="BQ26" s="92"/>
      <c r="BS26" s="6"/>
      <c r="BT26" s="11"/>
      <c r="BU26" s="6"/>
      <c r="BV26" s="6"/>
    </row>
    <row r="27" spans="1:74" ht="15.75" x14ac:dyDescent="0.25">
      <c r="A27" s="50" t="s">
        <v>449</v>
      </c>
      <c r="B27" s="52"/>
      <c r="C27" s="7" t="s">
        <v>118</v>
      </c>
      <c r="D27" s="7" t="s">
        <v>510</v>
      </c>
      <c r="E27" s="7"/>
      <c r="F27" s="55"/>
      <c r="G27" s="6"/>
      <c r="H27" s="6"/>
      <c r="I27" s="10" t="s">
        <v>110</v>
      </c>
      <c r="J27" s="11" t="s">
        <v>526</v>
      </c>
      <c r="K27" s="102" t="s">
        <v>512</v>
      </c>
      <c r="L27" s="98"/>
      <c r="M27" s="98">
        <v>1000</v>
      </c>
      <c r="N27" s="60" t="s">
        <v>513</v>
      </c>
      <c r="O27" s="88"/>
      <c r="P27" s="60" t="s">
        <v>527</v>
      </c>
      <c r="Q27" s="60"/>
      <c r="R27" s="60"/>
      <c r="S27" s="89"/>
      <c r="T27" s="106"/>
      <c r="U27" s="88"/>
      <c r="V27" s="91"/>
      <c r="W27" s="12" t="s">
        <v>515</v>
      </c>
      <c r="X27" s="103"/>
      <c r="Y27" s="6" t="s">
        <v>528</v>
      </c>
      <c r="Z27" s="64" t="s">
        <v>517</v>
      </c>
      <c r="AA27" s="12">
        <v>3</v>
      </c>
      <c r="AB27" s="6" t="s">
        <v>148</v>
      </c>
      <c r="AC27" s="64">
        <v>3060</v>
      </c>
      <c r="AJ27" s="60"/>
      <c r="AK27" s="67" t="s">
        <v>518</v>
      </c>
      <c r="AN27" s="60"/>
      <c r="AO27" s="60"/>
      <c r="AP27" s="60"/>
      <c r="AQ27" s="60"/>
      <c r="AR27" s="72"/>
      <c r="AS27" s="60"/>
      <c r="AT27" s="7"/>
      <c r="AU27" s="7"/>
      <c r="AV27" s="92"/>
      <c r="AW27" s="93"/>
      <c r="AX27" s="77"/>
      <c r="AY27" s="80"/>
      <c r="AZ27" s="94"/>
      <c r="BA27" s="94"/>
      <c r="BB27" s="80" t="s">
        <v>519</v>
      </c>
      <c r="BC27" s="95"/>
      <c r="BD27" s="92"/>
      <c r="BE27" s="92"/>
      <c r="BF27" s="92"/>
      <c r="BG27" s="92"/>
      <c r="BH27" s="92"/>
      <c r="BI27" s="92"/>
      <c r="BJ27" s="92"/>
      <c r="BK27" s="92"/>
      <c r="BL27" s="92"/>
      <c r="BM27" s="92"/>
      <c r="BN27" s="92"/>
      <c r="BO27" s="92"/>
      <c r="BP27" s="92"/>
      <c r="BQ27" s="92"/>
      <c r="BS27" s="6"/>
      <c r="BT27" s="11"/>
      <c r="BU27" s="6"/>
      <c r="BV27" s="6"/>
    </row>
    <row r="28" spans="1:74" ht="15.75" x14ac:dyDescent="0.25">
      <c r="A28" s="50" t="s">
        <v>449</v>
      </c>
      <c r="B28" s="52"/>
      <c r="C28" s="7" t="s">
        <v>118</v>
      </c>
      <c r="D28" s="7" t="s">
        <v>510</v>
      </c>
      <c r="E28" s="7"/>
      <c r="F28" s="55"/>
      <c r="G28" s="6"/>
      <c r="H28" s="6"/>
      <c r="I28" s="10" t="s">
        <v>110</v>
      </c>
      <c r="J28" s="11" t="s">
        <v>529</v>
      </c>
      <c r="K28" s="102" t="s">
        <v>512</v>
      </c>
      <c r="L28" s="98"/>
      <c r="M28" s="98">
        <v>1000</v>
      </c>
      <c r="N28" s="60" t="s">
        <v>513</v>
      </c>
      <c r="O28" s="88"/>
      <c r="P28" s="60" t="s">
        <v>530</v>
      </c>
      <c r="Q28" s="60"/>
      <c r="R28" s="60"/>
      <c r="S28" s="89"/>
      <c r="T28" s="106"/>
      <c r="U28" s="88"/>
      <c r="V28" s="91"/>
      <c r="W28" s="12" t="s">
        <v>515</v>
      </c>
      <c r="X28" s="103"/>
      <c r="Y28" s="6" t="s">
        <v>528</v>
      </c>
      <c r="Z28" s="64" t="s">
        <v>522</v>
      </c>
      <c r="AA28" s="12">
        <v>3</v>
      </c>
      <c r="AB28" s="6" t="s">
        <v>148</v>
      </c>
      <c r="AC28" s="64">
        <v>3084</v>
      </c>
      <c r="AJ28" s="60"/>
      <c r="AK28" s="67" t="s">
        <v>450</v>
      </c>
      <c r="AN28" s="60"/>
      <c r="AO28" s="60"/>
      <c r="AP28" s="60"/>
      <c r="AQ28" s="60"/>
      <c r="AR28" s="72"/>
      <c r="AS28" s="60"/>
      <c r="AT28" s="7"/>
      <c r="AU28" s="7"/>
      <c r="AV28" s="92"/>
      <c r="AW28" s="93"/>
      <c r="AX28" s="77"/>
      <c r="AY28" s="80"/>
      <c r="AZ28" s="94"/>
      <c r="BA28" s="94"/>
      <c r="BB28" s="80" t="s">
        <v>519</v>
      </c>
      <c r="BC28" s="95"/>
      <c r="BD28" s="92"/>
      <c r="BE28" s="92"/>
      <c r="BF28" s="92"/>
      <c r="BG28" s="92"/>
      <c r="BH28" s="92"/>
      <c r="BI28" s="92"/>
      <c r="BJ28" s="92"/>
      <c r="BK28" s="92"/>
      <c r="BL28" s="92"/>
      <c r="BM28" s="92"/>
      <c r="BN28" s="92"/>
      <c r="BO28" s="92"/>
      <c r="BP28" s="92"/>
      <c r="BQ28" s="92"/>
      <c r="BS28" s="6"/>
      <c r="BT28" s="11"/>
      <c r="BU28" s="6"/>
      <c r="BV28" s="6"/>
    </row>
    <row r="29" spans="1:74" ht="15.75" x14ac:dyDescent="0.25">
      <c r="A29" s="50" t="s">
        <v>449</v>
      </c>
      <c r="B29" s="52"/>
      <c r="C29" s="7" t="s">
        <v>118</v>
      </c>
      <c r="D29" s="7" t="s">
        <v>510</v>
      </c>
      <c r="E29" s="7"/>
      <c r="F29" s="55"/>
      <c r="G29" s="6"/>
      <c r="H29" s="6"/>
      <c r="I29" s="10" t="s">
        <v>110</v>
      </c>
      <c r="J29" s="11" t="s">
        <v>531</v>
      </c>
      <c r="K29" s="102" t="s">
        <v>512</v>
      </c>
      <c r="L29" s="98"/>
      <c r="M29" s="98">
        <v>1000</v>
      </c>
      <c r="N29" s="60" t="s">
        <v>513</v>
      </c>
      <c r="O29" s="88"/>
      <c r="P29" s="60" t="s">
        <v>532</v>
      </c>
      <c r="Q29" s="60"/>
      <c r="R29" s="60"/>
      <c r="S29" s="89"/>
      <c r="T29" s="106"/>
      <c r="U29" s="88"/>
      <c r="V29" s="91"/>
      <c r="W29" s="12" t="s">
        <v>515</v>
      </c>
      <c r="X29" s="103"/>
      <c r="Y29" s="6" t="s">
        <v>533</v>
      </c>
      <c r="Z29" s="64" t="s">
        <v>517</v>
      </c>
      <c r="AA29" s="12">
        <v>4</v>
      </c>
      <c r="AB29" s="6" t="s">
        <v>148</v>
      </c>
      <c r="AC29" s="64">
        <v>3060</v>
      </c>
      <c r="AJ29" s="60"/>
      <c r="AK29" s="67" t="s">
        <v>518</v>
      </c>
      <c r="AN29" s="60"/>
      <c r="AO29" s="60"/>
      <c r="AP29" s="60"/>
      <c r="AQ29" s="60"/>
      <c r="AR29" s="72"/>
      <c r="AS29" s="60"/>
      <c r="AT29" s="7"/>
      <c r="AU29" s="7"/>
      <c r="AV29" s="92"/>
      <c r="AW29" s="93"/>
      <c r="AX29" s="77"/>
      <c r="AY29" s="80"/>
      <c r="AZ29" s="94"/>
      <c r="BA29" s="94"/>
      <c r="BB29" s="80" t="s">
        <v>519</v>
      </c>
      <c r="BC29" s="95"/>
      <c r="BD29" s="92"/>
      <c r="BE29" s="92"/>
      <c r="BF29" s="92"/>
      <c r="BG29" s="92"/>
      <c r="BH29" s="92"/>
      <c r="BI29" s="92"/>
      <c r="BJ29" s="92"/>
      <c r="BK29" s="92"/>
      <c r="BL29" s="92"/>
      <c r="BM29" s="92"/>
      <c r="BN29" s="92"/>
      <c r="BO29" s="92"/>
      <c r="BP29" s="92"/>
      <c r="BQ29" s="92"/>
      <c r="BS29" s="6"/>
      <c r="BT29" s="11"/>
      <c r="BU29" s="6"/>
      <c r="BV29" s="6"/>
    </row>
    <row r="30" spans="1:74" ht="15.75" x14ac:dyDescent="0.25">
      <c r="A30" s="50" t="s">
        <v>449</v>
      </c>
      <c r="B30" s="52"/>
      <c r="C30" s="7" t="s">
        <v>118</v>
      </c>
      <c r="D30" s="7" t="s">
        <v>510</v>
      </c>
      <c r="E30" s="7"/>
      <c r="F30" s="55"/>
      <c r="G30" s="6"/>
      <c r="H30" s="6"/>
      <c r="I30" s="10" t="s">
        <v>110</v>
      </c>
      <c r="J30" s="11" t="s">
        <v>534</v>
      </c>
      <c r="K30" s="102" t="s">
        <v>512</v>
      </c>
      <c r="L30" s="98"/>
      <c r="M30" s="98">
        <v>1000</v>
      </c>
      <c r="N30" s="60" t="s">
        <v>513</v>
      </c>
      <c r="O30" s="88"/>
      <c r="P30" s="60" t="s">
        <v>535</v>
      </c>
      <c r="Q30" s="60"/>
      <c r="R30" s="60"/>
      <c r="S30" s="89"/>
      <c r="T30" s="106"/>
      <c r="U30" s="88"/>
      <c r="V30" s="91"/>
      <c r="W30" s="12" t="s">
        <v>515</v>
      </c>
      <c r="X30" s="103"/>
      <c r="Y30" s="6" t="s">
        <v>533</v>
      </c>
      <c r="Z30" s="64" t="s">
        <v>522</v>
      </c>
      <c r="AA30" s="12">
        <v>4</v>
      </c>
      <c r="AB30" s="6" t="s">
        <v>148</v>
      </c>
      <c r="AC30" s="64">
        <v>3084</v>
      </c>
      <c r="AJ30" s="60"/>
      <c r="AK30" s="67" t="s">
        <v>450</v>
      </c>
      <c r="AN30" s="60"/>
      <c r="AO30" s="60"/>
      <c r="AP30" s="60"/>
      <c r="AQ30" s="60"/>
      <c r="AR30" s="72"/>
      <c r="AS30" s="60"/>
      <c r="AT30" s="7"/>
      <c r="AU30" s="7"/>
      <c r="AV30" s="92"/>
      <c r="AW30" s="93"/>
      <c r="AX30" s="77"/>
      <c r="AY30" s="80"/>
      <c r="AZ30" s="94"/>
      <c r="BA30" s="94"/>
      <c r="BB30" s="80" t="s">
        <v>519</v>
      </c>
      <c r="BC30" s="95"/>
      <c r="BD30" s="92"/>
      <c r="BE30" s="92"/>
      <c r="BF30" s="92"/>
      <c r="BG30" s="92"/>
      <c r="BH30" s="92"/>
      <c r="BI30" s="92"/>
      <c r="BJ30" s="92"/>
      <c r="BK30" s="92"/>
      <c r="BL30" s="92"/>
      <c r="BM30" s="92"/>
      <c r="BN30" s="92"/>
      <c r="BO30" s="92"/>
      <c r="BP30" s="92"/>
      <c r="BQ30" s="92"/>
      <c r="BS30" s="6"/>
      <c r="BT30" s="11"/>
      <c r="BU30" s="6"/>
      <c r="BV30" s="6"/>
    </row>
    <row r="31" spans="1:74" ht="15.75" x14ac:dyDescent="0.25">
      <c r="A31" s="50" t="s">
        <v>449</v>
      </c>
      <c r="B31" s="52"/>
      <c r="C31" s="7" t="s">
        <v>118</v>
      </c>
      <c r="D31" s="7" t="s">
        <v>510</v>
      </c>
      <c r="E31" s="7"/>
      <c r="F31" s="55"/>
      <c r="G31" s="6"/>
      <c r="H31" s="6"/>
      <c r="I31" s="10" t="s">
        <v>110</v>
      </c>
      <c r="J31" s="11" t="s">
        <v>536</v>
      </c>
      <c r="K31" s="102" t="s">
        <v>512</v>
      </c>
      <c r="L31" s="98"/>
      <c r="M31" s="98">
        <v>1000</v>
      </c>
      <c r="N31" s="60" t="s">
        <v>513</v>
      </c>
      <c r="O31" s="88"/>
      <c r="P31" s="60" t="s">
        <v>537</v>
      </c>
      <c r="Q31" s="60"/>
      <c r="R31" s="60"/>
      <c r="S31" s="89"/>
      <c r="T31" s="106"/>
      <c r="U31" s="88"/>
      <c r="V31" s="91"/>
      <c r="W31" s="12" t="s">
        <v>515</v>
      </c>
      <c r="X31" s="103"/>
      <c r="Y31" s="6" t="s">
        <v>538</v>
      </c>
      <c r="Z31" s="64" t="s">
        <v>517</v>
      </c>
      <c r="AA31" s="12">
        <v>6</v>
      </c>
      <c r="AB31" s="6" t="s">
        <v>148</v>
      </c>
      <c r="AC31" s="64">
        <v>3060</v>
      </c>
      <c r="AJ31" s="60"/>
      <c r="AK31" s="67" t="s">
        <v>518</v>
      </c>
      <c r="AN31" s="60"/>
      <c r="AO31" s="60"/>
      <c r="AP31" s="60"/>
      <c r="AQ31" s="60"/>
      <c r="AR31" s="72"/>
      <c r="AS31" s="60"/>
      <c r="AT31" s="7"/>
      <c r="AU31" s="7"/>
      <c r="AV31" s="92"/>
      <c r="AW31" s="93"/>
      <c r="AX31" s="77"/>
      <c r="AY31" s="80"/>
      <c r="AZ31" s="94"/>
      <c r="BA31" s="94"/>
      <c r="BB31" s="80" t="s">
        <v>519</v>
      </c>
      <c r="BC31" s="95"/>
      <c r="BD31" s="92"/>
      <c r="BE31" s="92"/>
      <c r="BF31" s="92"/>
      <c r="BG31" s="92"/>
      <c r="BH31" s="92"/>
      <c r="BI31" s="92"/>
      <c r="BJ31" s="92"/>
      <c r="BK31" s="92"/>
      <c r="BL31" s="92"/>
      <c r="BM31" s="92"/>
      <c r="BN31" s="92"/>
      <c r="BO31" s="92"/>
      <c r="BP31" s="92"/>
      <c r="BQ31" s="92"/>
      <c r="BS31" s="6"/>
      <c r="BT31" s="11"/>
      <c r="BU31" s="6"/>
      <c r="BV31" s="6"/>
    </row>
    <row r="32" spans="1:74" ht="15.75" x14ac:dyDescent="0.25">
      <c r="A32" s="50" t="s">
        <v>449</v>
      </c>
      <c r="B32" s="52"/>
      <c r="C32" s="7" t="s">
        <v>118</v>
      </c>
      <c r="D32" s="7" t="s">
        <v>510</v>
      </c>
      <c r="E32" s="7"/>
      <c r="F32" s="55"/>
      <c r="G32" s="6"/>
      <c r="H32" s="6"/>
      <c r="I32" s="10" t="s">
        <v>110</v>
      </c>
      <c r="J32" s="11" t="s">
        <v>539</v>
      </c>
      <c r="K32" s="102" t="s">
        <v>512</v>
      </c>
      <c r="L32" s="98"/>
      <c r="M32" s="98">
        <v>1000</v>
      </c>
      <c r="N32" s="60" t="s">
        <v>513</v>
      </c>
      <c r="O32" s="88"/>
      <c r="P32" s="60" t="s">
        <v>540</v>
      </c>
      <c r="Q32" s="60"/>
      <c r="R32" s="60"/>
      <c r="S32" s="89"/>
      <c r="T32" s="106"/>
      <c r="U32" s="88"/>
      <c r="V32" s="91"/>
      <c r="W32" s="12" t="s">
        <v>515</v>
      </c>
      <c r="X32" s="103"/>
      <c r="Y32" s="6" t="s">
        <v>538</v>
      </c>
      <c r="Z32" s="64" t="s">
        <v>522</v>
      </c>
      <c r="AA32" s="12">
        <v>6</v>
      </c>
      <c r="AB32" s="6" t="s">
        <v>148</v>
      </c>
      <c r="AC32" s="64">
        <v>3084</v>
      </c>
      <c r="AJ32" s="60"/>
      <c r="AK32" s="67" t="s">
        <v>450</v>
      </c>
      <c r="AN32" s="60"/>
      <c r="AO32" s="60"/>
      <c r="AP32" s="60"/>
      <c r="AQ32" s="60"/>
      <c r="AR32" s="72"/>
      <c r="AS32" s="60"/>
      <c r="AT32" s="7"/>
      <c r="AU32" s="7"/>
      <c r="AV32" s="92"/>
      <c r="AW32" s="93"/>
      <c r="AX32" s="77"/>
      <c r="AY32" s="80"/>
      <c r="AZ32" s="94"/>
      <c r="BA32" s="94"/>
      <c r="BB32" s="80" t="s">
        <v>519</v>
      </c>
      <c r="BC32" s="95"/>
      <c r="BD32" s="92"/>
      <c r="BE32" s="92"/>
      <c r="BF32" s="92"/>
      <c r="BG32" s="92"/>
      <c r="BH32" s="92"/>
      <c r="BI32" s="92"/>
      <c r="BJ32" s="92"/>
      <c r="BK32" s="92"/>
      <c r="BL32" s="92"/>
      <c r="BM32" s="92"/>
      <c r="BN32" s="92"/>
      <c r="BO32" s="92"/>
      <c r="BP32" s="92"/>
      <c r="BQ32" s="92"/>
      <c r="BS32" s="6"/>
      <c r="BT32" s="11"/>
      <c r="BU32" s="6"/>
      <c r="BV32" s="6"/>
    </row>
    <row r="33" spans="1:74" ht="15.75" x14ac:dyDescent="0.25">
      <c r="A33" s="50" t="s">
        <v>449</v>
      </c>
      <c r="B33" s="52"/>
      <c r="C33" s="7" t="s">
        <v>118</v>
      </c>
      <c r="D33" s="7" t="s">
        <v>510</v>
      </c>
      <c r="E33" s="7"/>
      <c r="F33" s="55"/>
      <c r="G33" s="6"/>
      <c r="H33" s="6"/>
      <c r="I33" s="10" t="s">
        <v>110</v>
      </c>
      <c r="J33" s="11" t="s">
        <v>541</v>
      </c>
      <c r="K33" s="102" t="s">
        <v>512</v>
      </c>
      <c r="L33" s="98"/>
      <c r="M33" s="98">
        <v>1000</v>
      </c>
      <c r="N33" s="60" t="s">
        <v>513</v>
      </c>
      <c r="O33" s="88"/>
      <c r="P33" s="60" t="s">
        <v>542</v>
      </c>
      <c r="Q33" s="60"/>
      <c r="R33" s="60"/>
      <c r="S33" s="89"/>
      <c r="T33" s="106"/>
      <c r="U33" s="88"/>
      <c r="V33" s="91"/>
      <c r="W33" s="12" t="s">
        <v>515</v>
      </c>
      <c r="X33" s="103"/>
      <c r="Y33" s="6" t="s">
        <v>543</v>
      </c>
      <c r="Z33" s="64" t="s">
        <v>517</v>
      </c>
      <c r="AA33" s="12">
        <v>7</v>
      </c>
      <c r="AB33" s="6" t="s">
        <v>148</v>
      </c>
      <c r="AC33" s="64">
        <v>3060</v>
      </c>
      <c r="AJ33" s="60"/>
      <c r="AK33" s="67" t="s">
        <v>518</v>
      </c>
      <c r="AN33" s="60"/>
      <c r="AO33" s="60"/>
      <c r="AP33" s="60"/>
      <c r="AQ33" s="60"/>
      <c r="AR33" s="72"/>
      <c r="AS33" s="60"/>
      <c r="AT33" s="7"/>
      <c r="AU33" s="7"/>
      <c r="AV33" s="92"/>
      <c r="AW33" s="93"/>
      <c r="AX33" s="77"/>
      <c r="AY33" s="80"/>
      <c r="AZ33" s="94"/>
      <c r="BA33" s="94"/>
      <c r="BB33" s="80" t="s">
        <v>519</v>
      </c>
      <c r="BC33" s="95"/>
      <c r="BD33" s="92"/>
      <c r="BE33" s="92"/>
      <c r="BF33" s="92"/>
      <c r="BG33" s="92"/>
      <c r="BH33" s="92"/>
      <c r="BI33" s="92"/>
      <c r="BJ33" s="92"/>
      <c r="BK33" s="92"/>
      <c r="BL33" s="92"/>
      <c r="BM33" s="92"/>
      <c r="BN33" s="92"/>
      <c r="BO33" s="92"/>
      <c r="BP33" s="92"/>
      <c r="BQ33" s="92"/>
      <c r="BS33" s="6"/>
      <c r="BT33" s="11"/>
      <c r="BU33" s="6"/>
      <c r="BV33" s="6"/>
    </row>
    <row r="34" spans="1:74" ht="15.75" x14ac:dyDescent="0.25">
      <c r="A34" s="50" t="s">
        <v>449</v>
      </c>
      <c r="B34" s="52"/>
      <c r="C34" s="7" t="s">
        <v>118</v>
      </c>
      <c r="D34" s="7" t="s">
        <v>510</v>
      </c>
      <c r="E34" s="7"/>
      <c r="F34" s="55"/>
      <c r="G34" s="6"/>
      <c r="H34" s="6"/>
      <c r="I34" s="10" t="s">
        <v>110</v>
      </c>
      <c r="J34" s="11" t="s">
        <v>544</v>
      </c>
      <c r="K34" s="102" t="s">
        <v>512</v>
      </c>
      <c r="L34" s="98"/>
      <c r="M34" s="98">
        <v>1000</v>
      </c>
      <c r="N34" s="60" t="s">
        <v>513</v>
      </c>
      <c r="O34" s="88"/>
      <c r="P34" s="60" t="s">
        <v>545</v>
      </c>
      <c r="Q34" s="60"/>
      <c r="R34" s="60"/>
      <c r="S34" s="89"/>
      <c r="T34" s="106"/>
      <c r="U34" s="88"/>
      <c r="V34" s="91"/>
      <c r="W34" s="12" t="s">
        <v>515</v>
      </c>
      <c r="X34" s="103"/>
      <c r="Y34" s="6" t="s">
        <v>543</v>
      </c>
      <c r="Z34" s="64" t="s">
        <v>522</v>
      </c>
      <c r="AA34" s="12">
        <v>7</v>
      </c>
      <c r="AB34" s="6" t="s">
        <v>148</v>
      </c>
      <c r="AC34" s="64">
        <v>3084</v>
      </c>
      <c r="AJ34" s="60"/>
      <c r="AK34" s="67" t="s">
        <v>450</v>
      </c>
      <c r="AN34" s="60"/>
      <c r="AO34" s="60"/>
      <c r="AP34" s="60"/>
      <c r="AQ34" s="60"/>
      <c r="AR34" s="72"/>
      <c r="AS34" s="60"/>
      <c r="AT34" s="7"/>
      <c r="AU34" s="7"/>
      <c r="AV34" s="92"/>
      <c r="AW34" s="93"/>
      <c r="AX34" s="77"/>
      <c r="AY34" s="80"/>
      <c r="AZ34" s="94"/>
      <c r="BA34" s="94"/>
      <c r="BB34" s="80" t="s">
        <v>519</v>
      </c>
      <c r="BC34" s="95"/>
      <c r="BD34" s="92"/>
      <c r="BE34" s="92"/>
      <c r="BF34" s="92"/>
      <c r="BG34" s="92"/>
      <c r="BH34" s="92"/>
      <c r="BI34" s="92"/>
      <c r="BJ34" s="92"/>
      <c r="BK34" s="92"/>
      <c r="BL34" s="92"/>
      <c r="BM34" s="92"/>
      <c r="BN34" s="92"/>
      <c r="BO34" s="92"/>
      <c r="BP34" s="92"/>
      <c r="BQ34" s="92"/>
      <c r="BS34" s="6"/>
      <c r="BT34" s="11"/>
      <c r="BU34" s="6"/>
      <c r="BV34" s="6"/>
    </row>
    <row r="35" spans="1:74" ht="15.75" x14ac:dyDescent="0.25">
      <c r="A35" s="50" t="s">
        <v>449</v>
      </c>
      <c r="B35" s="52"/>
      <c r="C35" s="7" t="s">
        <v>118</v>
      </c>
      <c r="D35" s="7" t="s">
        <v>510</v>
      </c>
      <c r="E35" s="7"/>
      <c r="F35" s="55"/>
      <c r="G35" s="6"/>
      <c r="H35" s="6"/>
      <c r="I35" s="10" t="s">
        <v>110</v>
      </c>
      <c r="J35" s="11" t="s">
        <v>546</v>
      </c>
      <c r="K35" s="102" t="s">
        <v>512</v>
      </c>
      <c r="L35" s="98"/>
      <c r="M35" s="98">
        <v>1000</v>
      </c>
      <c r="N35" s="60" t="s">
        <v>513</v>
      </c>
      <c r="O35" s="88"/>
      <c r="P35" s="60" t="s">
        <v>547</v>
      </c>
      <c r="Q35" s="60"/>
      <c r="R35" s="60"/>
      <c r="S35" s="89"/>
      <c r="T35" s="106"/>
      <c r="U35" s="88"/>
      <c r="V35" s="91"/>
      <c r="W35" s="12" t="s">
        <v>515</v>
      </c>
      <c r="X35" s="103"/>
      <c r="Y35" s="6" t="s">
        <v>548</v>
      </c>
      <c r="Z35" s="64" t="s">
        <v>517</v>
      </c>
      <c r="AA35" s="12">
        <v>8</v>
      </c>
      <c r="AB35" s="6" t="s">
        <v>148</v>
      </c>
      <c r="AC35" s="64">
        <v>3060</v>
      </c>
      <c r="AJ35" s="60"/>
      <c r="AK35" s="67" t="s">
        <v>518</v>
      </c>
      <c r="AN35" s="60"/>
      <c r="AO35" s="60"/>
      <c r="AP35" s="60"/>
      <c r="AQ35" s="60"/>
      <c r="AR35" s="72"/>
      <c r="AS35" s="60"/>
      <c r="AT35" s="7"/>
      <c r="AU35" s="7"/>
      <c r="AV35" s="92"/>
      <c r="AW35" s="93"/>
      <c r="AX35" s="77"/>
      <c r="AY35" s="80"/>
      <c r="AZ35" s="94"/>
      <c r="BA35" s="94"/>
      <c r="BB35" s="80" t="s">
        <v>519</v>
      </c>
      <c r="BC35" s="95"/>
      <c r="BD35" s="92"/>
      <c r="BE35" s="92"/>
      <c r="BF35" s="92"/>
      <c r="BG35" s="92"/>
      <c r="BH35" s="92"/>
      <c r="BI35" s="92"/>
      <c r="BJ35" s="92"/>
      <c r="BK35" s="92"/>
      <c r="BL35" s="92"/>
      <c r="BM35" s="92"/>
      <c r="BN35" s="92"/>
      <c r="BO35" s="92"/>
      <c r="BP35" s="92"/>
      <c r="BQ35" s="92"/>
      <c r="BS35" s="6"/>
      <c r="BT35" s="11"/>
      <c r="BU35" s="6"/>
      <c r="BV35" s="6"/>
    </row>
    <row r="36" spans="1:74" ht="15.75" x14ac:dyDescent="0.25">
      <c r="A36" s="50" t="s">
        <v>449</v>
      </c>
      <c r="B36" s="52"/>
      <c r="C36" s="7" t="s">
        <v>118</v>
      </c>
      <c r="D36" s="7" t="s">
        <v>510</v>
      </c>
      <c r="E36" s="7"/>
      <c r="F36" s="55"/>
      <c r="G36" s="6"/>
      <c r="H36" s="6"/>
      <c r="I36" s="10" t="s">
        <v>110</v>
      </c>
      <c r="J36" s="11" t="s">
        <v>549</v>
      </c>
      <c r="K36" s="102" t="s">
        <v>512</v>
      </c>
      <c r="L36" s="98"/>
      <c r="M36" s="98">
        <v>1000</v>
      </c>
      <c r="N36" s="60" t="s">
        <v>513</v>
      </c>
      <c r="O36" s="88"/>
      <c r="P36" s="60" t="s">
        <v>550</v>
      </c>
      <c r="Q36" s="60"/>
      <c r="R36" s="60"/>
      <c r="S36" s="89"/>
      <c r="T36" s="106"/>
      <c r="U36" s="88"/>
      <c r="V36" s="91"/>
      <c r="W36" s="12" t="s">
        <v>515</v>
      </c>
      <c r="X36" s="103"/>
      <c r="Y36" s="6" t="s">
        <v>548</v>
      </c>
      <c r="Z36" s="64" t="s">
        <v>522</v>
      </c>
      <c r="AA36" s="12">
        <v>8</v>
      </c>
      <c r="AB36" s="6" t="s">
        <v>148</v>
      </c>
      <c r="AC36" s="64">
        <v>3084</v>
      </c>
      <c r="AJ36" s="60"/>
      <c r="AK36" s="67" t="s">
        <v>450</v>
      </c>
      <c r="AN36" s="60"/>
      <c r="AO36" s="60"/>
      <c r="AP36" s="60"/>
      <c r="AQ36" s="60"/>
      <c r="AR36" s="72"/>
      <c r="AS36" s="60"/>
      <c r="AT36" s="7"/>
      <c r="AU36" s="7"/>
      <c r="AV36" s="92"/>
      <c r="AW36" s="93"/>
      <c r="AX36" s="77"/>
      <c r="AY36" s="80"/>
      <c r="AZ36" s="94"/>
      <c r="BA36" s="94"/>
      <c r="BB36" s="80" t="s">
        <v>519</v>
      </c>
      <c r="BC36" s="95"/>
      <c r="BD36" s="92"/>
      <c r="BE36" s="92"/>
      <c r="BF36" s="92"/>
      <c r="BG36" s="92"/>
      <c r="BH36" s="92"/>
      <c r="BI36" s="92"/>
      <c r="BJ36" s="92"/>
      <c r="BK36" s="92"/>
      <c r="BL36" s="92"/>
      <c r="BM36" s="92"/>
      <c r="BN36" s="92"/>
      <c r="BO36" s="92"/>
      <c r="BP36" s="92"/>
      <c r="BQ36" s="92"/>
      <c r="BS36" s="6"/>
      <c r="BT36" s="11"/>
      <c r="BU36" s="6"/>
      <c r="BV36" s="6"/>
    </row>
    <row r="37" spans="1:74" ht="15.75" x14ac:dyDescent="0.25">
      <c r="A37" s="50" t="s">
        <v>449</v>
      </c>
      <c r="B37" s="52"/>
      <c r="C37" s="7" t="s">
        <v>118</v>
      </c>
      <c r="D37" s="7" t="s">
        <v>510</v>
      </c>
      <c r="E37" s="7"/>
      <c r="F37" s="55"/>
      <c r="G37" s="6"/>
      <c r="H37" s="6"/>
      <c r="I37" s="10" t="s">
        <v>110</v>
      </c>
      <c r="J37" s="11" t="s">
        <v>551</v>
      </c>
      <c r="K37" s="102" t="s">
        <v>512</v>
      </c>
      <c r="L37" s="98"/>
      <c r="M37" s="98">
        <v>1000</v>
      </c>
      <c r="N37" s="60" t="s">
        <v>513</v>
      </c>
      <c r="O37" s="88"/>
      <c r="P37" s="60" t="s">
        <v>552</v>
      </c>
      <c r="Q37" s="60"/>
      <c r="R37" s="60"/>
      <c r="S37" s="89"/>
      <c r="T37" s="106"/>
      <c r="U37" s="88"/>
      <c r="V37" s="91"/>
      <c r="W37" s="12" t="s">
        <v>515</v>
      </c>
      <c r="X37" s="103"/>
      <c r="Y37" s="6" t="s">
        <v>553</v>
      </c>
      <c r="Z37" s="64" t="s">
        <v>517</v>
      </c>
      <c r="AA37" s="12">
        <v>9</v>
      </c>
      <c r="AB37" s="6" t="s">
        <v>148</v>
      </c>
      <c r="AC37" s="64">
        <v>3060</v>
      </c>
      <c r="AJ37" s="60"/>
      <c r="AK37" s="67" t="s">
        <v>518</v>
      </c>
      <c r="AN37" s="60"/>
      <c r="AO37" s="60"/>
      <c r="AP37" s="60"/>
      <c r="AQ37" s="60"/>
      <c r="AR37" s="72"/>
      <c r="AS37" s="60"/>
      <c r="AT37" s="7"/>
      <c r="AU37" s="7"/>
      <c r="AV37" s="92"/>
      <c r="AW37" s="93"/>
      <c r="AX37" s="77"/>
      <c r="AY37" s="80"/>
      <c r="AZ37" s="94"/>
      <c r="BA37" s="94"/>
      <c r="BB37" s="80" t="s">
        <v>519</v>
      </c>
      <c r="BC37" s="95"/>
      <c r="BD37" s="92"/>
      <c r="BE37" s="92"/>
      <c r="BF37" s="92"/>
      <c r="BG37" s="92"/>
      <c r="BH37" s="92"/>
      <c r="BI37" s="92"/>
      <c r="BJ37" s="92"/>
      <c r="BK37" s="92"/>
      <c r="BL37" s="92"/>
      <c r="BM37" s="92"/>
      <c r="BN37" s="92"/>
      <c r="BO37" s="92"/>
      <c r="BP37" s="92"/>
      <c r="BQ37" s="92"/>
      <c r="BS37" s="6"/>
      <c r="BT37" s="11"/>
      <c r="BU37" s="6"/>
      <c r="BV37" s="6"/>
    </row>
    <row r="38" spans="1:74" ht="15.75" x14ac:dyDescent="0.25">
      <c r="A38" s="50" t="s">
        <v>449</v>
      </c>
      <c r="B38" s="52"/>
      <c r="C38" s="7" t="s">
        <v>118</v>
      </c>
      <c r="D38" s="7" t="s">
        <v>510</v>
      </c>
      <c r="E38" s="7"/>
      <c r="F38" s="55"/>
      <c r="G38" s="6"/>
      <c r="H38" s="6"/>
      <c r="I38" s="10" t="s">
        <v>110</v>
      </c>
      <c r="J38" s="11" t="s">
        <v>554</v>
      </c>
      <c r="K38" s="102" t="s">
        <v>512</v>
      </c>
      <c r="L38" s="98"/>
      <c r="M38" s="98">
        <v>1000</v>
      </c>
      <c r="N38" s="60" t="s">
        <v>513</v>
      </c>
      <c r="O38" s="88"/>
      <c r="P38" s="60" t="s">
        <v>555</v>
      </c>
      <c r="Q38" s="60"/>
      <c r="R38" s="60"/>
      <c r="S38" s="89"/>
      <c r="T38" s="106"/>
      <c r="U38" s="88"/>
      <c r="V38" s="91"/>
      <c r="W38" s="12" t="s">
        <v>515</v>
      </c>
      <c r="X38" s="103"/>
      <c r="Y38" s="6" t="s">
        <v>553</v>
      </c>
      <c r="Z38" s="64" t="s">
        <v>522</v>
      </c>
      <c r="AA38" s="12">
        <v>9</v>
      </c>
      <c r="AB38" s="6" t="s">
        <v>148</v>
      </c>
      <c r="AC38" s="64">
        <v>3084</v>
      </c>
      <c r="AJ38" s="60"/>
      <c r="AK38" s="67" t="s">
        <v>450</v>
      </c>
      <c r="AN38" s="60"/>
      <c r="AO38" s="60"/>
      <c r="AP38" s="60"/>
      <c r="AQ38" s="60"/>
      <c r="AR38" s="72"/>
      <c r="AS38" s="60"/>
      <c r="AT38" s="7"/>
      <c r="AU38" s="7"/>
      <c r="AV38" s="92"/>
      <c r="AW38" s="93"/>
      <c r="AX38" s="77"/>
      <c r="AY38" s="80"/>
      <c r="AZ38" s="94"/>
      <c r="BA38" s="94"/>
      <c r="BB38" s="80" t="s">
        <v>519</v>
      </c>
      <c r="BC38" s="95"/>
      <c r="BD38" s="92"/>
      <c r="BE38" s="92"/>
      <c r="BF38" s="92"/>
      <c r="BG38" s="92"/>
      <c r="BH38" s="92"/>
      <c r="BI38" s="92"/>
      <c r="BJ38" s="92"/>
      <c r="BK38" s="92"/>
      <c r="BL38" s="92"/>
      <c r="BM38" s="92"/>
      <c r="BN38" s="92"/>
      <c r="BO38" s="92"/>
      <c r="BP38" s="92"/>
      <c r="BQ38" s="92"/>
      <c r="BS38" s="6"/>
      <c r="BT38" s="11"/>
      <c r="BU38" s="6"/>
      <c r="BV38" s="6"/>
    </row>
    <row r="39" spans="1:74" ht="15.75" x14ac:dyDescent="0.25">
      <c r="A39" s="50" t="s">
        <v>449</v>
      </c>
      <c r="B39" s="52"/>
      <c r="C39" s="7" t="s">
        <v>118</v>
      </c>
      <c r="D39" s="7" t="s">
        <v>510</v>
      </c>
      <c r="E39" s="7"/>
      <c r="F39" s="55"/>
      <c r="G39" s="6"/>
      <c r="H39" s="6"/>
      <c r="I39" s="10" t="s">
        <v>110</v>
      </c>
      <c r="J39" s="11" t="s">
        <v>556</v>
      </c>
      <c r="K39" s="102" t="s">
        <v>512</v>
      </c>
      <c r="L39" s="98"/>
      <c r="M39" s="98">
        <v>1000</v>
      </c>
      <c r="N39" s="60" t="s">
        <v>513</v>
      </c>
      <c r="O39" s="88"/>
      <c r="P39" s="60" t="s">
        <v>557</v>
      </c>
      <c r="Q39" s="60"/>
      <c r="R39" s="60"/>
      <c r="S39" s="89"/>
      <c r="T39" s="106"/>
      <c r="U39" s="88"/>
      <c r="V39" s="91"/>
      <c r="W39" s="12" t="s">
        <v>515</v>
      </c>
      <c r="X39" s="103"/>
      <c r="Y39" s="6" t="s">
        <v>558</v>
      </c>
      <c r="Z39" s="64" t="s">
        <v>517</v>
      </c>
      <c r="AA39" s="12">
        <v>10</v>
      </c>
      <c r="AB39" s="6" t="s">
        <v>148</v>
      </c>
      <c r="AC39" s="64">
        <v>3060</v>
      </c>
      <c r="AJ39" s="60"/>
      <c r="AK39" s="67" t="s">
        <v>518</v>
      </c>
      <c r="AN39" s="60"/>
      <c r="AO39" s="60"/>
      <c r="AP39" s="60"/>
      <c r="AQ39" s="60"/>
      <c r="AR39" s="72"/>
      <c r="AS39" s="60"/>
      <c r="AT39" s="7"/>
      <c r="AU39" s="7"/>
      <c r="AV39" s="92"/>
      <c r="AW39" s="93"/>
      <c r="AX39" s="77"/>
      <c r="AY39" s="80"/>
      <c r="AZ39" s="94"/>
      <c r="BA39" s="94"/>
      <c r="BB39" s="80" t="s">
        <v>519</v>
      </c>
      <c r="BC39" s="95"/>
      <c r="BD39" s="92"/>
      <c r="BE39" s="92"/>
      <c r="BF39" s="92"/>
      <c r="BG39" s="92"/>
      <c r="BH39" s="92"/>
      <c r="BI39" s="92"/>
      <c r="BJ39" s="92"/>
      <c r="BK39" s="92"/>
      <c r="BL39" s="92"/>
      <c r="BM39" s="92"/>
      <c r="BN39" s="92"/>
      <c r="BO39" s="92"/>
      <c r="BP39" s="92"/>
      <c r="BQ39" s="92"/>
      <c r="BS39" s="6"/>
      <c r="BT39" s="11"/>
      <c r="BU39" s="6"/>
      <c r="BV39" s="6"/>
    </row>
    <row r="40" spans="1:74" ht="15.75" x14ac:dyDescent="0.25">
      <c r="A40" s="50" t="s">
        <v>449</v>
      </c>
      <c r="B40" s="52"/>
      <c r="C40" s="7" t="s">
        <v>118</v>
      </c>
      <c r="D40" s="7" t="s">
        <v>510</v>
      </c>
      <c r="E40" s="7"/>
      <c r="F40" s="55"/>
      <c r="G40" s="6"/>
      <c r="H40" s="6"/>
      <c r="I40" s="10" t="s">
        <v>110</v>
      </c>
      <c r="J40" s="11" t="s">
        <v>559</v>
      </c>
      <c r="K40" s="102" t="s">
        <v>512</v>
      </c>
      <c r="L40" s="98"/>
      <c r="M40" s="98">
        <v>1000</v>
      </c>
      <c r="N40" s="60" t="s">
        <v>513</v>
      </c>
      <c r="O40" s="88"/>
      <c r="P40" s="60" t="s">
        <v>560</v>
      </c>
      <c r="Q40" s="60"/>
      <c r="R40" s="60"/>
      <c r="S40" s="89"/>
      <c r="T40" s="106"/>
      <c r="U40" s="88"/>
      <c r="V40" s="91"/>
      <c r="W40" s="12" t="s">
        <v>515</v>
      </c>
      <c r="X40" s="103"/>
      <c r="Y40" s="6" t="s">
        <v>558</v>
      </c>
      <c r="Z40" s="64" t="s">
        <v>522</v>
      </c>
      <c r="AA40" s="12">
        <v>10</v>
      </c>
      <c r="AB40" s="6" t="s">
        <v>148</v>
      </c>
      <c r="AC40" s="64">
        <v>3084</v>
      </c>
      <c r="AJ40" s="60"/>
      <c r="AK40" s="67" t="s">
        <v>450</v>
      </c>
      <c r="AN40" s="60"/>
      <c r="AO40" s="60"/>
      <c r="AP40" s="60"/>
      <c r="AQ40" s="60"/>
      <c r="AR40" s="72"/>
      <c r="AS40" s="60"/>
      <c r="AT40" s="7"/>
      <c r="AU40" s="7"/>
      <c r="AV40" s="92"/>
      <c r="AW40" s="93"/>
      <c r="AX40" s="77"/>
      <c r="AY40" s="80"/>
      <c r="AZ40" s="94"/>
      <c r="BA40" s="94"/>
      <c r="BB40" s="80" t="s">
        <v>519</v>
      </c>
      <c r="BC40" s="95"/>
      <c r="BD40" s="92"/>
      <c r="BE40" s="92"/>
      <c r="BF40" s="92"/>
      <c r="BG40" s="92"/>
      <c r="BH40" s="92"/>
      <c r="BI40" s="92"/>
      <c r="BJ40" s="92"/>
      <c r="BK40" s="92"/>
      <c r="BL40" s="92"/>
      <c r="BM40" s="92"/>
      <c r="BN40" s="92"/>
      <c r="BO40" s="92"/>
      <c r="BP40" s="92"/>
      <c r="BQ40" s="92"/>
      <c r="BS40" s="6"/>
      <c r="BT40" s="11"/>
      <c r="BU40" s="6"/>
      <c r="BV40" s="6"/>
    </row>
    <row r="41" spans="1:74" ht="15.75" x14ac:dyDescent="0.25">
      <c r="A41" s="50" t="s">
        <v>449</v>
      </c>
      <c r="B41" s="52"/>
      <c r="C41" s="7" t="s">
        <v>118</v>
      </c>
      <c r="D41" s="7" t="s">
        <v>510</v>
      </c>
      <c r="E41" s="7"/>
      <c r="F41" s="55"/>
      <c r="G41" s="6"/>
      <c r="H41" s="6"/>
      <c r="I41" s="10" t="s">
        <v>110</v>
      </c>
      <c r="J41" s="11" t="s">
        <v>561</v>
      </c>
      <c r="K41" s="102" t="s">
        <v>512</v>
      </c>
      <c r="L41" s="98"/>
      <c r="M41" s="98">
        <v>1000</v>
      </c>
      <c r="N41" s="60" t="s">
        <v>513</v>
      </c>
      <c r="O41" s="88"/>
      <c r="P41" s="60" t="s">
        <v>562</v>
      </c>
      <c r="Q41" s="60"/>
      <c r="R41" s="60"/>
      <c r="S41" s="89"/>
      <c r="T41" s="106"/>
      <c r="U41" s="88"/>
      <c r="V41" s="91"/>
      <c r="W41" s="12" t="s">
        <v>515</v>
      </c>
      <c r="X41" s="103"/>
      <c r="Y41" s="6" t="s">
        <v>563</v>
      </c>
      <c r="Z41" s="64" t="s">
        <v>517</v>
      </c>
      <c r="AA41" s="12">
        <v>11</v>
      </c>
      <c r="AB41" s="6" t="s">
        <v>148</v>
      </c>
      <c r="AC41" s="64">
        <v>3060</v>
      </c>
      <c r="AJ41" s="60"/>
      <c r="AK41" s="67" t="s">
        <v>518</v>
      </c>
      <c r="AN41" s="60"/>
      <c r="AO41" s="60"/>
      <c r="AP41" s="60"/>
      <c r="AQ41" s="60"/>
      <c r="AR41" s="72"/>
      <c r="AS41" s="60"/>
      <c r="AT41" s="7"/>
      <c r="AU41" s="7"/>
      <c r="AV41" s="92"/>
      <c r="AW41" s="93"/>
      <c r="AX41" s="77"/>
      <c r="AY41" s="80"/>
      <c r="AZ41" s="94"/>
      <c r="BA41" s="94"/>
      <c r="BB41" s="80" t="s">
        <v>519</v>
      </c>
      <c r="BC41" s="95"/>
      <c r="BD41" s="92"/>
      <c r="BE41" s="92"/>
      <c r="BF41" s="92"/>
      <c r="BG41" s="92"/>
      <c r="BH41" s="92"/>
      <c r="BI41" s="92"/>
      <c r="BJ41" s="92"/>
      <c r="BK41" s="92"/>
      <c r="BL41" s="92"/>
      <c r="BM41" s="92"/>
      <c r="BN41" s="92"/>
      <c r="BO41" s="92"/>
      <c r="BP41" s="92"/>
      <c r="BQ41" s="92"/>
      <c r="BS41" s="6"/>
      <c r="BT41" s="11"/>
      <c r="BU41" s="6"/>
      <c r="BV41" s="6"/>
    </row>
    <row r="42" spans="1:74" ht="15.75" x14ac:dyDescent="0.25">
      <c r="A42" s="50" t="s">
        <v>449</v>
      </c>
      <c r="B42" s="52"/>
      <c r="C42" s="7" t="s">
        <v>118</v>
      </c>
      <c r="D42" s="7" t="s">
        <v>510</v>
      </c>
      <c r="E42" s="7"/>
      <c r="F42" s="55"/>
      <c r="G42" s="6"/>
      <c r="H42" s="6"/>
      <c r="I42" s="10" t="s">
        <v>110</v>
      </c>
      <c r="J42" s="11" t="s">
        <v>564</v>
      </c>
      <c r="K42" s="102" t="s">
        <v>512</v>
      </c>
      <c r="L42" s="98"/>
      <c r="M42" s="98">
        <v>1000</v>
      </c>
      <c r="N42" s="60" t="s">
        <v>513</v>
      </c>
      <c r="O42" s="88"/>
      <c r="P42" s="60" t="s">
        <v>565</v>
      </c>
      <c r="Q42" s="60"/>
      <c r="R42" s="60"/>
      <c r="S42" s="89"/>
      <c r="T42" s="106"/>
      <c r="U42" s="88"/>
      <c r="V42" s="91"/>
      <c r="W42" s="12" t="s">
        <v>515</v>
      </c>
      <c r="X42" s="103"/>
      <c r="Y42" s="6" t="s">
        <v>563</v>
      </c>
      <c r="Z42" s="64" t="s">
        <v>522</v>
      </c>
      <c r="AA42" s="12">
        <v>11</v>
      </c>
      <c r="AB42" s="6" t="s">
        <v>148</v>
      </c>
      <c r="AC42" s="64">
        <v>3084</v>
      </c>
      <c r="AJ42" s="60"/>
      <c r="AK42" s="67" t="s">
        <v>450</v>
      </c>
      <c r="AN42" s="60"/>
      <c r="AO42" s="60"/>
      <c r="AP42" s="60"/>
      <c r="AQ42" s="60"/>
      <c r="AR42" s="72"/>
      <c r="AS42" s="60"/>
      <c r="AT42" s="7"/>
      <c r="AU42" s="7"/>
      <c r="AV42" s="92"/>
      <c r="AW42" s="93"/>
      <c r="AX42" s="77"/>
      <c r="AY42" s="80"/>
      <c r="AZ42" s="94"/>
      <c r="BA42" s="94"/>
      <c r="BB42" s="80" t="s">
        <v>519</v>
      </c>
      <c r="BC42" s="95"/>
      <c r="BD42" s="92"/>
      <c r="BE42" s="92"/>
      <c r="BF42" s="92"/>
      <c r="BG42" s="92"/>
      <c r="BH42" s="92"/>
      <c r="BI42" s="92"/>
      <c r="BJ42" s="92"/>
      <c r="BK42" s="92"/>
      <c r="BL42" s="92"/>
      <c r="BM42" s="92"/>
      <c r="BN42" s="92"/>
      <c r="BO42" s="92"/>
      <c r="BP42" s="92"/>
      <c r="BQ42" s="92"/>
      <c r="BS42" s="6"/>
      <c r="BT42" s="11"/>
      <c r="BU42" s="6"/>
      <c r="BV42" s="6"/>
    </row>
    <row r="43" spans="1:74" ht="15.75" x14ac:dyDescent="0.25">
      <c r="A43" s="50" t="s">
        <v>449</v>
      </c>
      <c r="B43" s="52"/>
      <c r="C43" s="7" t="s">
        <v>118</v>
      </c>
      <c r="D43" s="7" t="s">
        <v>510</v>
      </c>
      <c r="E43" s="7"/>
      <c r="F43" s="55"/>
      <c r="G43" s="6"/>
      <c r="H43" s="6"/>
      <c r="I43" s="10" t="s">
        <v>110</v>
      </c>
      <c r="J43" s="11" t="s">
        <v>566</v>
      </c>
      <c r="K43" s="102" t="s">
        <v>512</v>
      </c>
      <c r="L43" s="98"/>
      <c r="M43" s="98">
        <v>1000</v>
      </c>
      <c r="N43" s="60" t="s">
        <v>513</v>
      </c>
      <c r="O43" s="88"/>
      <c r="P43" s="60" t="s">
        <v>567</v>
      </c>
      <c r="Q43" s="60"/>
      <c r="R43" s="60"/>
      <c r="S43" s="89"/>
      <c r="T43" s="106"/>
      <c r="U43" s="88"/>
      <c r="V43" s="91"/>
      <c r="W43" s="12" t="s">
        <v>515</v>
      </c>
      <c r="X43" s="103"/>
      <c r="Y43" s="6" t="s">
        <v>568</v>
      </c>
      <c r="Z43" s="64" t="s">
        <v>517</v>
      </c>
      <c r="AA43" s="12">
        <v>15</v>
      </c>
      <c r="AB43" s="6" t="s">
        <v>148</v>
      </c>
      <c r="AC43" s="64">
        <v>3060</v>
      </c>
      <c r="AJ43" s="60"/>
      <c r="AK43" s="67" t="s">
        <v>518</v>
      </c>
      <c r="AN43" s="60"/>
      <c r="AO43" s="60"/>
      <c r="AP43" s="60"/>
      <c r="AQ43" s="60"/>
      <c r="AR43" s="72"/>
      <c r="AS43" s="60"/>
      <c r="AT43" s="7"/>
      <c r="AU43" s="7"/>
      <c r="AV43" s="92"/>
      <c r="AW43" s="93"/>
      <c r="AX43" s="77"/>
      <c r="AY43" s="80"/>
      <c r="AZ43" s="94"/>
      <c r="BA43" s="94"/>
      <c r="BB43" s="80" t="s">
        <v>519</v>
      </c>
      <c r="BC43" s="95"/>
      <c r="BD43" s="92"/>
      <c r="BE43" s="92"/>
      <c r="BF43" s="92"/>
      <c r="BG43" s="92"/>
      <c r="BH43" s="92"/>
      <c r="BI43" s="92"/>
      <c r="BJ43" s="92"/>
      <c r="BK43" s="92"/>
      <c r="BL43" s="92"/>
      <c r="BM43" s="92"/>
      <c r="BN43" s="92"/>
      <c r="BO43" s="92"/>
      <c r="BP43" s="92"/>
      <c r="BQ43" s="92"/>
      <c r="BS43" s="6"/>
      <c r="BT43" s="11"/>
      <c r="BU43" s="6"/>
      <c r="BV43" s="6"/>
    </row>
    <row r="44" spans="1:74" ht="15.75" x14ac:dyDescent="0.25">
      <c r="A44" s="50" t="s">
        <v>449</v>
      </c>
      <c r="B44" s="52"/>
      <c r="C44" s="7" t="s">
        <v>118</v>
      </c>
      <c r="D44" s="7" t="s">
        <v>510</v>
      </c>
      <c r="E44" s="7"/>
      <c r="F44" s="55"/>
      <c r="G44" s="6"/>
      <c r="H44" s="6"/>
      <c r="I44" s="10" t="s">
        <v>110</v>
      </c>
      <c r="J44" s="11" t="s">
        <v>569</v>
      </c>
      <c r="K44" s="102" t="s">
        <v>512</v>
      </c>
      <c r="L44" s="98"/>
      <c r="M44" s="98">
        <v>1000</v>
      </c>
      <c r="N44" s="60" t="s">
        <v>513</v>
      </c>
      <c r="O44" s="88"/>
      <c r="P44" s="60" t="s">
        <v>570</v>
      </c>
      <c r="Q44" s="60"/>
      <c r="R44" s="60"/>
      <c r="S44" s="89"/>
      <c r="T44" s="106"/>
      <c r="U44" s="88"/>
      <c r="V44" s="91"/>
      <c r="W44" s="12" t="s">
        <v>515</v>
      </c>
      <c r="X44" s="103"/>
      <c r="Y44" s="6" t="s">
        <v>568</v>
      </c>
      <c r="Z44" s="64" t="s">
        <v>522</v>
      </c>
      <c r="AA44" s="12">
        <v>15</v>
      </c>
      <c r="AB44" s="6" t="s">
        <v>148</v>
      </c>
      <c r="AC44" s="64">
        <v>3084</v>
      </c>
      <c r="AJ44" s="60"/>
      <c r="AK44" s="67" t="s">
        <v>450</v>
      </c>
      <c r="AN44" s="60"/>
      <c r="AO44" s="60"/>
      <c r="AP44" s="60"/>
      <c r="AQ44" s="60"/>
      <c r="AR44" s="72"/>
      <c r="AS44" s="60"/>
      <c r="AT44" s="7"/>
      <c r="AU44" s="7"/>
      <c r="AV44" s="92"/>
      <c r="AW44" s="93"/>
      <c r="AX44" s="77"/>
      <c r="AY44" s="80"/>
      <c r="AZ44" s="94"/>
      <c r="BA44" s="94"/>
      <c r="BB44" s="80" t="s">
        <v>519</v>
      </c>
      <c r="BC44" s="95"/>
      <c r="BD44" s="92"/>
      <c r="BE44" s="92"/>
      <c r="BF44" s="92"/>
      <c r="BG44" s="92"/>
      <c r="BH44" s="92"/>
      <c r="BI44" s="92"/>
      <c r="BJ44" s="92"/>
      <c r="BK44" s="92"/>
      <c r="BL44" s="92"/>
      <c r="BM44" s="92"/>
      <c r="BN44" s="92"/>
      <c r="BO44" s="92"/>
      <c r="BP44" s="92"/>
      <c r="BQ44" s="92"/>
      <c r="BS44" s="6"/>
      <c r="BT44" s="11"/>
      <c r="BU44" s="6"/>
      <c r="BV44" s="6"/>
    </row>
    <row r="45" spans="1:74" ht="15.75" x14ac:dyDescent="0.25">
      <c r="A45" s="50" t="s">
        <v>449</v>
      </c>
      <c r="B45" s="52"/>
      <c r="C45" s="7" t="s">
        <v>118</v>
      </c>
      <c r="D45" s="7" t="s">
        <v>510</v>
      </c>
      <c r="E45" s="7"/>
      <c r="F45" s="55"/>
      <c r="G45" s="6"/>
      <c r="H45" s="6"/>
      <c r="I45" s="10" t="s">
        <v>110</v>
      </c>
      <c r="J45" s="11" t="s">
        <v>571</v>
      </c>
      <c r="K45" s="102" t="s">
        <v>512</v>
      </c>
      <c r="L45" s="98"/>
      <c r="M45" s="98">
        <v>1000</v>
      </c>
      <c r="N45" s="60" t="s">
        <v>513</v>
      </c>
      <c r="O45" s="88"/>
      <c r="P45" s="60" t="s">
        <v>572</v>
      </c>
      <c r="Q45" s="60"/>
      <c r="R45" s="60"/>
      <c r="S45" s="89"/>
      <c r="T45" s="106"/>
      <c r="U45" s="88"/>
      <c r="V45" s="91"/>
      <c r="W45" s="12" t="s">
        <v>515</v>
      </c>
      <c r="X45" s="103"/>
      <c r="Y45" s="6" t="s">
        <v>573</v>
      </c>
      <c r="Z45" s="64" t="s">
        <v>517</v>
      </c>
      <c r="AA45" s="12">
        <v>16</v>
      </c>
      <c r="AB45" s="6" t="s">
        <v>148</v>
      </c>
      <c r="AC45" s="64">
        <v>3060</v>
      </c>
      <c r="AJ45" s="60"/>
      <c r="AK45" s="67" t="s">
        <v>518</v>
      </c>
      <c r="AN45" s="60"/>
      <c r="AO45" s="60"/>
      <c r="AP45" s="60"/>
      <c r="AQ45" s="60"/>
      <c r="AR45" s="72"/>
      <c r="AS45" s="60"/>
      <c r="AT45" s="7"/>
      <c r="AU45" s="7"/>
      <c r="AV45" s="92"/>
      <c r="AW45" s="93"/>
      <c r="AX45" s="77"/>
      <c r="AY45" s="80"/>
      <c r="AZ45" s="94"/>
      <c r="BA45" s="94"/>
      <c r="BB45" s="80" t="s">
        <v>519</v>
      </c>
      <c r="BC45" s="95"/>
      <c r="BD45" s="92"/>
      <c r="BE45" s="92"/>
      <c r="BF45" s="92"/>
      <c r="BG45" s="92"/>
      <c r="BH45" s="92"/>
      <c r="BI45" s="92"/>
      <c r="BJ45" s="92"/>
      <c r="BK45" s="92"/>
      <c r="BL45" s="92"/>
      <c r="BM45" s="92"/>
      <c r="BN45" s="92"/>
      <c r="BO45" s="92"/>
      <c r="BP45" s="92"/>
      <c r="BQ45" s="92"/>
      <c r="BS45" s="6"/>
      <c r="BT45" s="11"/>
      <c r="BU45" s="6"/>
      <c r="BV45" s="6"/>
    </row>
    <row r="46" spans="1:74" ht="15.75" x14ac:dyDescent="0.25">
      <c r="A46" s="50" t="s">
        <v>449</v>
      </c>
      <c r="B46" s="52"/>
      <c r="C46" s="7" t="s">
        <v>118</v>
      </c>
      <c r="D46" s="7" t="s">
        <v>510</v>
      </c>
      <c r="E46" s="7"/>
      <c r="F46" s="55"/>
      <c r="G46" s="6"/>
      <c r="H46" s="6"/>
      <c r="I46" s="10" t="s">
        <v>110</v>
      </c>
      <c r="J46" s="11" t="s">
        <v>574</v>
      </c>
      <c r="K46" s="102" t="s">
        <v>512</v>
      </c>
      <c r="L46" s="98"/>
      <c r="M46" s="98">
        <v>1000</v>
      </c>
      <c r="N46" s="60" t="s">
        <v>513</v>
      </c>
      <c r="O46" s="88"/>
      <c r="P46" s="60" t="s">
        <v>575</v>
      </c>
      <c r="Q46" s="60"/>
      <c r="R46" s="60"/>
      <c r="S46" s="89"/>
      <c r="T46" s="106"/>
      <c r="U46" s="88"/>
      <c r="V46" s="91"/>
      <c r="W46" s="12" t="s">
        <v>515</v>
      </c>
      <c r="X46" s="103"/>
      <c r="Y46" s="6" t="s">
        <v>573</v>
      </c>
      <c r="Z46" s="64" t="s">
        <v>522</v>
      </c>
      <c r="AA46" s="12">
        <v>16</v>
      </c>
      <c r="AB46" s="6" t="s">
        <v>148</v>
      </c>
      <c r="AC46" s="64">
        <v>3084</v>
      </c>
      <c r="AJ46" s="60"/>
      <c r="AK46" s="67" t="s">
        <v>450</v>
      </c>
      <c r="AN46" s="60"/>
      <c r="AO46" s="60"/>
      <c r="AP46" s="60"/>
      <c r="AQ46" s="60"/>
      <c r="AR46" s="72"/>
      <c r="AS46" s="60"/>
      <c r="AT46" s="7"/>
      <c r="AU46" s="7"/>
      <c r="AV46" s="92"/>
      <c r="AW46" s="93"/>
      <c r="AX46" s="77"/>
      <c r="AY46" s="80"/>
      <c r="AZ46" s="94"/>
      <c r="BA46" s="94"/>
      <c r="BB46" s="80" t="s">
        <v>519</v>
      </c>
      <c r="BC46" s="95"/>
      <c r="BD46" s="92"/>
      <c r="BE46" s="92"/>
      <c r="BF46" s="92"/>
      <c r="BG46" s="92"/>
      <c r="BH46" s="92"/>
      <c r="BI46" s="92"/>
      <c r="BJ46" s="92"/>
      <c r="BK46" s="92"/>
      <c r="BL46" s="92"/>
      <c r="BM46" s="92"/>
      <c r="BN46" s="92"/>
      <c r="BO46" s="92"/>
      <c r="BP46" s="92"/>
      <c r="BQ46" s="92"/>
      <c r="BS46" s="6"/>
      <c r="BT46" s="11"/>
      <c r="BU46" s="6"/>
      <c r="BV46" s="6"/>
    </row>
    <row r="47" spans="1:74" ht="15.75" x14ac:dyDescent="0.25">
      <c r="A47" s="50" t="s">
        <v>449</v>
      </c>
      <c r="B47" s="52"/>
      <c r="C47" s="7" t="s">
        <v>118</v>
      </c>
      <c r="D47" s="7" t="s">
        <v>510</v>
      </c>
      <c r="E47" s="7"/>
      <c r="F47" s="55"/>
      <c r="G47" s="6"/>
      <c r="H47" s="6"/>
      <c r="I47" s="10" t="s">
        <v>110</v>
      </c>
      <c r="J47" s="11" t="s">
        <v>576</v>
      </c>
      <c r="K47" s="102" t="s">
        <v>512</v>
      </c>
      <c r="L47" s="98"/>
      <c r="M47" s="98">
        <v>1000</v>
      </c>
      <c r="N47" s="60" t="s">
        <v>513</v>
      </c>
      <c r="O47" s="88"/>
      <c r="P47" s="60" t="s">
        <v>577</v>
      </c>
      <c r="Q47" s="60"/>
      <c r="R47" s="60"/>
      <c r="S47" s="89"/>
      <c r="T47" s="106"/>
      <c r="U47" s="88"/>
      <c r="V47" s="91"/>
      <c r="W47" s="12" t="s">
        <v>515</v>
      </c>
      <c r="X47" s="103"/>
      <c r="Y47" s="6" t="s">
        <v>578</v>
      </c>
      <c r="Z47" s="64" t="s">
        <v>517</v>
      </c>
      <c r="AA47" s="12">
        <v>17</v>
      </c>
      <c r="AB47" s="6" t="s">
        <v>148</v>
      </c>
      <c r="AC47" s="64">
        <v>3060</v>
      </c>
      <c r="AJ47" s="60"/>
      <c r="AK47" s="67" t="s">
        <v>518</v>
      </c>
      <c r="AN47" s="60"/>
      <c r="AO47" s="60"/>
      <c r="AP47" s="60"/>
      <c r="AQ47" s="60"/>
      <c r="AR47" s="72"/>
      <c r="AS47" s="60"/>
      <c r="AT47" s="7"/>
      <c r="AU47" s="7"/>
      <c r="AV47" s="92"/>
      <c r="AW47" s="93"/>
      <c r="AX47" s="77"/>
      <c r="AY47" s="80"/>
      <c r="AZ47" s="94"/>
      <c r="BA47" s="94"/>
      <c r="BB47" s="80" t="s">
        <v>519</v>
      </c>
      <c r="BC47" s="95"/>
      <c r="BD47" s="92"/>
      <c r="BE47" s="92"/>
      <c r="BF47" s="92"/>
      <c r="BG47" s="92"/>
      <c r="BH47" s="92"/>
      <c r="BI47" s="92"/>
      <c r="BJ47" s="92"/>
      <c r="BK47" s="92"/>
      <c r="BL47" s="92"/>
      <c r="BM47" s="92"/>
      <c r="BN47" s="92"/>
      <c r="BO47" s="92"/>
      <c r="BP47" s="92"/>
      <c r="BQ47" s="92"/>
      <c r="BS47" s="6"/>
      <c r="BT47" s="11"/>
      <c r="BU47" s="6"/>
      <c r="BV47" s="6"/>
    </row>
    <row r="48" spans="1:74" ht="15.75" x14ac:dyDescent="0.25">
      <c r="A48" s="50" t="s">
        <v>449</v>
      </c>
      <c r="B48" s="52"/>
      <c r="C48" s="7" t="s">
        <v>118</v>
      </c>
      <c r="D48" s="7" t="s">
        <v>510</v>
      </c>
      <c r="E48" s="7"/>
      <c r="F48" s="55"/>
      <c r="G48" s="6"/>
      <c r="H48" s="6"/>
      <c r="I48" s="10" t="s">
        <v>110</v>
      </c>
      <c r="J48" s="11" t="s">
        <v>579</v>
      </c>
      <c r="K48" s="102" t="s">
        <v>512</v>
      </c>
      <c r="L48" s="98"/>
      <c r="M48" s="98">
        <v>1000</v>
      </c>
      <c r="N48" s="60" t="s">
        <v>513</v>
      </c>
      <c r="O48" s="88"/>
      <c r="P48" s="60" t="s">
        <v>580</v>
      </c>
      <c r="Q48" s="60"/>
      <c r="R48" s="60"/>
      <c r="S48" s="89"/>
      <c r="T48" s="106"/>
      <c r="U48" s="88"/>
      <c r="V48" s="91"/>
      <c r="W48" s="12" t="s">
        <v>515</v>
      </c>
      <c r="X48" s="103"/>
      <c r="Y48" s="6" t="s">
        <v>578</v>
      </c>
      <c r="Z48" s="64" t="s">
        <v>522</v>
      </c>
      <c r="AA48" s="12">
        <v>17</v>
      </c>
      <c r="AB48" s="6" t="s">
        <v>148</v>
      </c>
      <c r="AC48" s="64">
        <v>3084</v>
      </c>
      <c r="AJ48" s="60"/>
      <c r="AK48" s="67" t="s">
        <v>450</v>
      </c>
      <c r="AN48" s="60"/>
      <c r="AO48" s="60"/>
      <c r="AP48" s="60"/>
      <c r="AQ48" s="60"/>
      <c r="AR48" s="72"/>
      <c r="AS48" s="60"/>
      <c r="AT48" s="7"/>
      <c r="AU48" s="7"/>
      <c r="AV48" s="92"/>
      <c r="AW48" s="93"/>
      <c r="AX48" s="77"/>
      <c r="AY48" s="80"/>
      <c r="AZ48" s="94"/>
      <c r="BA48" s="94"/>
      <c r="BB48" s="80" t="s">
        <v>519</v>
      </c>
      <c r="BC48" s="95"/>
      <c r="BD48" s="92"/>
      <c r="BE48" s="92"/>
      <c r="BF48" s="92"/>
      <c r="BG48" s="92"/>
      <c r="BH48" s="92"/>
      <c r="BI48" s="92"/>
      <c r="BJ48" s="92"/>
      <c r="BK48" s="92"/>
      <c r="BL48" s="92"/>
      <c r="BM48" s="92"/>
      <c r="BN48" s="92"/>
      <c r="BO48" s="92"/>
      <c r="BP48" s="92"/>
      <c r="BQ48" s="92"/>
      <c r="BS48" s="6"/>
      <c r="BT48" s="11"/>
      <c r="BU48" s="6"/>
      <c r="BV48" s="6"/>
    </row>
    <row r="49" spans="1:74" ht="15.75" x14ac:dyDescent="0.25">
      <c r="A49" s="50" t="s">
        <v>449</v>
      </c>
      <c r="B49" s="52"/>
      <c r="C49" s="7" t="s">
        <v>118</v>
      </c>
      <c r="D49" s="7" t="s">
        <v>510</v>
      </c>
      <c r="E49" s="7"/>
      <c r="F49" s="55"/>
      <c r="G49" s="6"/>
      <c r="H49" s="6"/>
      <c r="I49" s="10" t="s">
        <v>110</v>
      </c>
      <c r="J49" s="11" t="s">
        <v>581</v>
      </c>
      <c r="K49" s="102" t="s">
        <v>512</v>
      </c>
      <c r="L49" s="98"/>
      <c r="M49" s="98">
        <v>1000</v>
      </c>
      <c r="N49" s="60" t="s">
        <v>513</v>
      </c>
      <c r="O49" s="88"/>
      <c r="P49" s="60" t="s">
        <v>582</v>
      </c>
      <c r="Q49" s="60"/>
      <c r="R49" s="60"/>
      <c r="S49" s="89"/>
      <c r="T49" s="106"/>
      <c r="U49" s="88"/>
      <c r="V49" s="91"/>
      <c r="W49" s="12" t="s">
        <v>515</v>
      </c>
      <c r="X49" s="103"/>
      <c r="Y49" s="6" t="s">
        <v>583</v>
      </c>
      <c r="Z49" s="64" t="s">
        <v>517</v>
      </c>
      <c r="AA49" s="12">
        <v>18</v>
      </c>
      <c r="AB49" s="6" t="s">
        <v>148</v>
      </c>
      <c r="AC49" s="64">
        <v>3060</v>
      </c>
      <c r="AJ49" s="60"/>
      <c r="AK49" s="67" t="s">
        <v>518</v>
      </c>
      <c r="AN49" s="60"/>
      <c r="AO49" s="60"/>
      <c r="AP49" s="60"/>
      <c r="AQ49" s="60"/>
      <c r="AR49" s="72"/>
      <c r="AS49" s="60"/>
      <c r="AT49" s="7"/>
      <c r="AU49" s="7"/>
      <c r="AV49" s="92"/>
      <c r="AW49" s="93"/>
      <c r="AX49" s="77"/>
      <c r="AY49" s="80"/>
      <c r="AZ49" s="94"/>
      <c r="BA49" s="94"/>
      <c r="BB49" s="80" t="s">
        <v>519</v>
      </c>
      <c r="BC49" s="95"/>
      <c r="BD49" s="92"/>
      <c r="BE49" s="92"/>
      <c r="BF49" s="92"/>
      <c r="BG49" s="92"/>
      <c r="BH49" s="92"/>
      <c r="BI49" s="92"/>
      <c r="BJ49" s="92"/>
      <c r="BK49" s="92"/>
      <c r="BL49" s="92"/>
      <c r="BM49" s="92"/>
      <c r="BN49" s="92"/>
      <c r="BO49" s="92"/>
      <c r="BP49" s="92"/>
      <c r="BQ49" s="92"/>
      <c r="BS49" s="6"/>
      <c r="BT49" s="11"/>
      <c r="BU49" s="6"/>
      <c r="BV49" s="6"/>
    </row>
    <row r="50" spans="1:74" ht="15.75" x14ac:dyDescent="0.25">
      <c r="A50" s="50" t="s">
        <v>449</v>
      </c>
      <c r="B50" s="52"/>
      <c r="C50" s="7" t="s">
        <v>118</v>
      </c>
      <c r="D50" s="7" t="s">
        <v>510</v>
      </c>
      <c r="E50" s="7"/>
      <c r="F50" s="55"/>
      <c r="G50" s="6"/>
      <c r="H50" s="6"/>
      <c r="I50" s="10" t="s">
        <v>110</v>
      </c>
      <c r="J50" s="11" t="s">
        <v>584</v>
      </c>
      <c r="K50" s="102" t="s">
        <v>512</v>
      </c>
      <c r="L50" s="98"/>
      <c r="M50" s="98">
        <v>1000</v>
      </c>
      <c r="N50" s="60" t="s">
        <v>513</v>
      </c>
      <c r="O50" s="88"/>
      <c r="P50" s="60" t="s">
        <v>585</v>
      </c>
      <c r="Q50" s="60"/>
      <c r="R50" s="60"/>
      <c r="S50" s="89"/>
      <c r="T50" s="106"/>
      <c r="U50" s="88"/>
      <c r="V50" s="91"/>
      <c r="W50" s="12" t="s">
        <v>515</v>
      </c>
      <c r="X50" s="103"/>
      <c r="Y50" s="6" t="s">
        <v>583</v>
      </c>
      <c r="Z50" s="64" t="s">
        <v>522</v>
      </c>
      <c r="AA50" s="12">
        <v>18</v>
      </c>
      <c r="AB50" s="6" t="s">
        <v>148</v>
      </c>
      <c r="AC50" s="64">
        <v>3084</v>
      </c>
      <c r="AJ50" s="60"/>
      <c r="AK50" s="67" t="s">
        <v>450</v>
      </c>
      <c r="AN50" s="60"/>
      <c r="AO50" s="60"/>
      <c r="AP50" s="60"/>
      <c r="AQ50" s="60"/>
      <c r="AR50" s="72"/>
      <c r="AS50" s="60"/>
      <c r="AT50" s="7"/>
      <c r="AU50" s="7"/>
      <c r="AV50" s="92"/>
      <c r="AW50" s="93"/>
      <c r="AX50" s="77"/>
      <c r="AY50" s="80"/>
      <c r="AZ50" s="94"/>
      <c r="BA50" s="94"/>
      <c r="BB50" s="80" t="s">
        <v>519</v>
      </c>
      <c r="BC50" s="95"/>
      <c r="BD50" s="92"/>
      <c r="BE50" s="92"/>
      <c r="BF50" s="92"/>
      <c r="BG50" s="92"/>
      <c r="BH50" s="92"/>
      <c r="BI50" s="92"/>
      <c r="BJ50" s="92"/>
      <c r="BK50" s="92"/>
      <c r="BL50" s="92"/>
      <c r="BM50" s="92"/>
      <c r="BN50" s="92"/>
      <c r="BO50" s="92"/>
      <c r="BP50" s="92"/>
      <c r="BQ50" s="92"/>
      <c r="BS50" s="6"/>
      <c r="BT50" s="11"/>
      <c r="BU50" s="6"/>
      <c r="BV50" s="6"/>
    </row>
    <row r="51" spans="1:74" ht="15.75" x14ac:dyDescent="0.25">
      <c r="A51" s="50" t="s">
        <v>449</v>
      </c>
      <c r="B51" s="52"/>
      <c r="C51" s="7" t="s">
        <v>118</v>
      </c>
      <c r="D51" s="7" t="s">
        <v>510</v>
      </c>
      <c r="E51" s="7"/>
      <c r="F51" s="55"/>
      <c r="G51" s="6"/>
      <c r="H51" s="6"/>
      <c r="I51" s="10" t="s">
        <v>110</v>
      </c>
      <c r="J51" s="11" t="s">
        <v>586</v>
      </c>
      <c r="K51" s="102" t="s">
        <v>512</v>
      </c>
      <c r="L51" s="98"/>
      <c r="M51" s="98">
        <v>1000</v>
      </c>
      <c r="N51" s="60" t="s">
        <v>513</v>
      </c>
      <c r="O51" s="88"/>
      <c r="P51" s="60" t="s">
        <v>587</v>
      </c>
      <c r="Q51" s="60"/>
      <c r="R51" s="60"/>
      <c r="S51" s="89"/>
      <c r="T51" s="106"/>
      <c r="U51" s="88"/>
      <c r="V51" s="91"/>
      <c r="W51" s="12" t="s">
        <v>515</v>
      </c>
      <c r="X51" s="103"/>
      <c r="Y51" s="6" t="s">
        <v>588</v>
      </c>
      <c r="Z51" s="64" t="s">
        <v>517</v>
      </c>
      <c r="AA51" s="12">
        <v>19</v>
      </c>
      <c r="AB51" s="6" t="s">
        <v>148</v>
      </c>
      <c r="AC51" s="64">
        <v>3060</v>
      </c>
      <c r="AJ51" s="60"/>
      <c r="AK51" s="67" t="s">
        <v>518</v>
      </c>
      <c r="AN51" s="60"/>
      <c r="AO51" s="60"/>
      <c r="AP51" s="60"/>
      <c r="AQ51" s="60"/>
      <c r="AR51" s="72"/>
      <c r="AS51" s="60"/>
      <c r="AT51" s="7"/>
      <c r="AU51" s="7"/>
      <c r="AV51" s="92"/>
      <c r="AW51" s="93"/>
      <c r="AX51" s="77"/>
      <c r="AY51" s="80"/>
      <c r="AZ51" s="94"/>
      <c r="BA51" s="94"/>
      <c r="BB51" s="80" t="s">
        <v>519</v>
      </c>
      <c r="BC51" s="95"/>
      <c r="BD51" s="92"/>
      <c r="BE51" s="92"/>
      <c r="BF51" s="92"/>
      <c r="BG51" s="92"/>
      <c r="BH51" s="92"/>
      <c r="BI51" s="92"/>
      <c r="BJ51" s="92"/>
      <c r="BK51" s="92"/>
      <c r="BL51" s="92"/>
      <c r="BM51" s="92"/>
      <c r="BN51" s="92"/>
      <c r="BO51" s="92"/>
      <c r="BP51" s="92"/>
      <c r="BQ51" s="92"/>
      <c r="BS51" s="6"/>
      <c r="BT51" s="11"/>
      <c r="BU51" s="6"/>
      <c r="BV51" s="6"/>
    </row>
    <row r="52" spans="1:74" ht="15.75" x14ac:dyDescent="0.25">
      <c r="A52" s="50" t="s">
        <v>449</v>
      </c>
      <c r="B52" s="52"/>
      <c r="C52" s="7" t="s">
        <v>118</v>
      </c>
      <c r="D52" s="7" t="s">
        <v>510</v>
      </c>
      <c r="E52" s="7"/>
      <c r="F52" s="55"/>
      <c r="G52" s="6"/>
      <c r="H52" s="6"/>
      <c r="I52" s="10" t="s">
        <v>110</v>
      </c>
      <c r="J52" s="11" t="s">
        <v>589</v>
      </c>
      <c r="K52" s="102" t="s">
        <v>512</v>
      </c>
      <c r="L52" s="98"/>
      <c r="M52" s="98">
        <v>1000</v>
      </c>
      <c r="N52" s="60" t="s">
        <v>513</v>
      </c>
      <c r="O52" s="88"/>
      <c r="P52" s="60" t="s">
        <v>590</v>
      </c>
      <c r="Q52" s="60"/>
      <c r="R52" s="60"/>
      <c r="S52" s="89"/>
      <c r="T52" s="106"/>
      <c r="U52" s="88"/>
      <c r="V52" s="91"/>
      <c r="W52" s="12" t="s">
        <v>515</v>
      </c>
      <c r="X52" s="103"/>
      <c r="Y52" s="6" t="s">
        <v>588</v>
      </c>
      <c r="Z52" s="64" t="s">
        <v>522</v>
      </c>
      <c r="AA52" s="12">
        <v>19</v>
      </c>
      <c r="AB52" s="6" t="s">
        <v>148</v>
      </c>
      <c r="AC52" s="64">
        <v>3084</v>
      </c>
      <c r="AJ52" s="60"/>
      <c r="AK52" s="67" t="s">
        <v>450</v>
      </c>
      <c r="AN52" s="60"/>
      <c r="AO52" s="60"/>
      <c r="AP52" s="60"/>
      <c r="AQ52" s="60"/>
      <c r="AR52" s="72"/>
      <c r="AS52" s="60"/>
      <c r="AT52" s="7"/>
      <c r="AU52" s="7"/>
      <c r="AV52" s="92"/>
      <c r="AW52" s="93"/>
      <c r="AX52" s="77"/>
      <c r="AY52" s="80"/>
      <c r="AZ52" s="94"/>
      <c r="BA52" s="94"/>
      <c r="BB52" s="80" t="s">
        <v>519</v>
      </c>
      <c r="BC52" s="95"/>
      <c r="BD52" s="92"/>
      <c r="BE52" s="92"/>
      <c r="BF52" s="92"/>
      <c r="BG52" s="92"/>
      <c r="BH52" s="92"/>
      <c r="BI52" s="92"/>
      <c r="BJ52" s="92"/>
      <c r="BK52" s="92"/>
      <c r="BL52" s="92"/>
      <c r="BM52" s="92"/>
      <c r="BN52" s="92"/>
      <c r="BO52" s="92"/>
      <c r="BP52" s="92"/>
      <c r="BQ52" s="92"/>
      <c r="BS52" s="6"/>
      <c r="BT52" s="11"/>
      <c r="BU52" s="6"/>
      <c r="BV52" s="6"/>
    </row>
    <row r="53" spans="1:74" ht="15.75" x14ac:dyDescent="0.25">
      <c r="A53" s="50" t="s">
        <v>449</v>
      </c>
      <c r="B53" s="52"/>
      <c r="C53" s="7" t="s">
        <v>118</v>
      </c>
      <c r="D53" s="7" t="s">
        <v>510</v>
      </c>
      <c r="E53" s="7"/>
      <c r="F53" s="55"/>
      <c r="G53" s="6"/>
      <c r="H53" s="6"/>
      <c r="I53" s="10" t="s">
        <v>110</v>
      </c>
      <c r="J53" s="11" t="s">
        <v>591</v>
      </c>
      <c r="K53" s="102" t="s">
        <v>512</v>
      </c>
      <c r="L53" s="98"/>
      <c r="M53" s="98">
        <v>1000</v>
      </c>
      <c r="N53" s="60" t="s">
        <v>513</v>
      </c>
      <c r="O53" s="88"/>
      <c r="P53" s="60" t="s">
        <v>592</v>
      </c>
      <c r="Q53" s="60"/>
      <c r="R53" s="60"/>
      <c r="S53" s="89"/>
      <c r="T53" s="106"/>
      <c r="U53" s="88"/>
      <c r="V53" s="91"/>
      <c r="W53" s="12" t="s">
        <v>515</v>
      </c>
      <c r="X53" s="103"/>
      <c r="Y53" s="6" t="s">
        <v>593</v>
      </c>
      <c r="Z53" s="64" t="s">
        <v>517</v>
      </c>
      <c r="AA53" s="12">
        <v>20</v>
      </c>
      <c r="AB53" s="6" t="s">
        <v>148</v>
      </c>
      <c r="AC53" s="64">
        <v>3060</v>
      </c>
      <c r="AJ53" s="60"/>
      <c r="AK53" s="67" t="s">
        <v>518</v>
      </c>
      <c r="AN53" s="60"/>
      <c r="AO53" s="60"/>
      <c r="AP53" s="60"/>
      <c r="AQ53" s="60"/>
      <c r="AR53" s="72"/>
      <c r="AS53" s="60"/>
      <c r="AT53" s="7"/>
      <c r="AU53" s="7"/>
      <c r="AV53" s="92"/>
      <c r="AW53" s="93"/>
      <c r="AX53" s="77"/>
      <c r="AY53" s="80"/>
      <c r="AZ53" s="94"/>
      <c r="BA53" s="94"/>
      <c r="BB53" s="80" t="s">
        <v>519</v>
      </c>
      <c r="BC53" s="95"/>
      <c r="BD53" s="92"/>
      <c r="BE53" s="92"/>
      <c r="BF53" s="92"/>
      <c r="BG53" s="92"/>
      <c r="BH53" s="92"/>
      <c r="BI53" s="92"/>
      <c r="BJ53" s="92"/>
      <c r="BK53" s="92"/>
      <c r="BL53" s="92"/>
      <c r="BM53" s="92"/>
      <c r="BN53" s="92"/>
      <c r="BO53" s="92"/>
      <c r="BP53" s="92"/>
      <c r="BQ53" s="92"/>
      <c r="BS53" s="6"/>
      <c r="BT53" s="11"/>
      <c r="BU53" s="6"/>
      <c r="BV53" s="6"/>
    </row>
    <row r="54" spans="1:74" ht="15.75" x14ac:dyDescent="0.25">
      <c r="A54" s="50" t="s">
        <v>449</v>
      </c>
      <c r="B54" s="52"/>
      <c r="C54" s="7" t="s">
        <v>118</v>
      </c>
      <c r="D54" s="7" t="s">
        <v>510</v>
      </c>
      <c r="E54" s="7"/>
      <c r="F54" s="55"/>
      <c r="G54" s="6"/>
      <c r="H54" s="6"/>
      <c r="I54" s="10" t="s">
        <v>110</v>
      </c>
      <c r="J54" s="11" t="s">
        <v>594</v>
      </c>
      <c r="K54" s="102" t="s">
        <v>512</v>
      </c>
      <c r="L54" s="98"/>
      <c r="M54" s="98">
        <v>1000</v>
      </c>
      <c r="N54" s="60" t="s">
        <v>513</v>
      </c>
      <c r="O54" s="88"/>
      <c r="P54" s="60" t="s">
        <v>595</v>
      </c>
      <c r="Q54" s="60"/>
      <c r="R54" s="60"/>
      <c r="S54" s="89"/>
      <c r="T54" s="106"/>
      <c r="U54" s="88"/>
      <c r="V54" s="91"/>
      <c r="W54" s="12" t="s">
        <v>515</v>
      </c>
      <c r="X54" s="103"/>
      <c r="Y54" s="6" t="s">
        <v>593</v>
      </c>
      <c r="Z54" s="64" t="s">
        <v>522</v>
      </c>
      <c r="AA54" s="12">
        <v>20</v>
      </c>
      <c r="AB54" s="6" t="s">
        <v>148</v>
      </c>
      <c r="AC54" s="64">
        <v>3084</v>
      </c>
      <c r="AJ54" s="60"/>
      <c r="AK54" s="67" t="s">
        <v>450</v>
      </c>
      <c r="AN54" s="60"/>
      <c r="AO54" s="60"/>
      <c r="AP54" s="60"/>
      <c r="AQ54" s="60"/>
      <c r="AR54" s="72"/>
      <c r="AS54" s="60"/>
      <c r="AT54" s="7"/>
      <c r="AU54" s="7"/>
      <c r="AV54" s="92"/>
      <c r="AW54" s="93"/>
      <c r="AX54" s="77"/>
      <c r="AY54" s="80"/>
      <c r="AZ54" s="94"/>
      <c r="BA54" s="94"/>
      <c r="BB54" s="80" t="s">
        <v>519</v>
      </c>
      <c r="BC54" s="95"/>
      <c r="BD54" s="92"/>
      <c r="BE54" s="92"/>
      <c r="BF54" s="92"/>
      <c r="BG54" s="92"/>
      <c r="BH54" s="92"/>
      <c r="BI54" s="92"/>
      <c r="BJ54" s="92"/>
      <c r="BK54" s="92"/>
      <c r="BL54" s="92"/>
      <c r="BM54" s="92"/>
      <c r="BN54" s="92"/>
      <c r="BO54" s="92"/>
      <c r="BP54" s="92"/>
      <c r="BQ54" s="92"/>
      <c r="BS54" s="6"/>
      <c r="BT54" s="11"/>
      <c r="BU54" s="6"/>
      <c r="BV54" s="6"/>
    </row>
    <row r="55" spans="1:74" ht="15.75" x14ac:dyDescent="0.25">
      <c r="A55" s="50" t="s">
        <v>449</v>
      </c>
      <c r="B55" s="52"/>
      <c r="C55" s="7" t="s">
        <v>118</v>
      </c>
      <c r="D55" s="7" t="s">
        <v>510</v>
      </c>
      <c r="E55" s="7"/>
      <c r="F55" s="55"/>
      <c r="G55" s="6"/>
      <c r="H55" s="6"/>
      <c r="I55" s="10" t="s">
        <v>110</v>
      </c>
      <c r="J55" s="11" t="s">
        <v>596</v>
      </c>
      <c r="K55" s="102" t="s">
        <v>512</v>
      </c>
      <c r="L55" s="98"/>
      <c r="M55" s="98">
        <v>1000</v>
      </c>
      <c r="N55" s="60" t="s">
        <v>513</v>
      </c>
      <c r="O55" s="88"/>
      <c r="P55" s="60" t="s">
        <v>597</v>
      </c>
      <c r="Q55" s="60"/>
      <c r="R55" s="60"/>
      <c r="S55" s="89"/>
      <c r="T55" s="106"/>
      <c r="U55" s="88"/>
      <c r="V55" s="91"/>
      <c r="W55" s="12" t="s">
        <v>515</v>
      </c>
      <c r="X55" s="103"/>
      <c r="Y55" s="6" t="s">
        <v>598</v>
      </c>
      <c r="Z55" s="64" t="s">
        <v>517</v>
      </c>
      <c r="AA55" s="12">
        <v>22</v>
      </c>
      <c r="AB55" s="6" t="s">
        <v>148</v>
      </c>
      <c r="AC55" s="64">
        <v>3060</v>
      </c>
      <c r="AJ55" s="60"/>
      <c r="AK55" s="67" t="s">
        <v>518</v>
      </c>
      <c r="AN55" s="60"/>
      <c r="AO55" s="60"/>
      <c r="AP55" s="60"/>
      <c r="AQ55" s="60"/>
      <c r="AR55" s="72"/>
      <c r="AS55" s="60"/>
      <c r="AT55" s="7"/>
      <c r="AU55" s="7"/>
      <c r="AV55" s="92"/>
      <c r="AW55" s="93"/>
      <c r="AX55" s="77"/>
      <c r="AY55" s="80"/>
      <c r="AZ55" s="94"/>
      <c r="BA55" s="94"/>
      <c r="BB55" s="80" t="s">
        <v>519</v>
      </c>
      <c r="BC55" s="95"/>
      <c r="BD55" s="92"/>
      <c r="BE55" s="92"/>
      <c r="BF55" s="92"/>
      <c r="BG55" s="92"/>
      <c r="BH55" s="92"/>
      <c r="BI55" s="92"/>
      <c r="BJ55" s="92"/>
      <c r="BK55" s="92"/>
      <c r="BL55" s="92"/>
      <c r="BM55" s="92"/>
      <c r="BN55" s="92"/>
      <c r="BO55" s="92"/>
      <c r="BP55" s="92"/>
      <c r="BQ55" s="92"/>
      <c r="BS55" s="6"/>
      <c r="BT55" s="11"/>
      <c r="BU55" s="6"/>
      <c r="BV55" s="6"/>
    </row>
    <row r="56" spans="1:74" ht="15.75" x14ac:dyDescent="0.25">
      <c r="A56" s="50" t="s">
        <v>449</v>
      </c>
      <c r="B56" s="52"/>
      <c r="C56" s="7" t="s">
        <v>118</v>
      </c>
      <c r="D56" s="7" t="s">
        <v>510</v>
      </c>
      <c r="E56" s="7"/>
      <c r="F56" s="55"/>
      <c r="G56" s="6"/>
      <c r="H56" s="6"/>
      <c r="I56" s="10" t="s">
        <v>110</v>
      </c>
      <c r="J56" s="11" t="s">
        <v>599</v>
      </c>
      <c r="K56" s="102" t="s">
        <v>512</v>
      </c>
      <c r="L56" s="98"/>
      <c r="M56" s="98">
        <v>1000</v>
      </c>
      <c r="N56" s="60" t="s">
        <v>513</v>
      </c>
      <c r="O56" s="88"/>
      <c r="P56" s="60" t="s">
        <v>600</v>
      </c>
      <c r="Q56" s="60"/>
      <c r="R56" s="60"/>
      <c r="S56" s="89"/>
      <c r="T56" s="106"/>
      <c r="U56" s="88"/>
      <c r="V56" s="91"/>
      <c r="W56" s="12" t="s">
        <v>515</v>
      </c>
      <c r="X56" s="103"/>
      <c r="Y56" s="6" t="s">
        <v>598</v>
      </c>
      <c r="Z56" s="64" t="s">
        <v>522</v>
      </c>
      <c r="AA56" s="12">
        <v>22</v>
      </c>
      <c r="AB56" s="6" t="s">
        <v>148</v>
      </c>
      <c r="AC56" s="64">
        <v>3084</v>
      </c>
      <c r="AJ56" s="60"/>
      <c r="AK56" s="67" t="s">
        <v>450</v>
      </c>
      <c r="AN56" s="60"/>
      <c r="AO56" s="60"/>
      <c r="AP56" s="60"/>
      <c r="AQ56" s="60"/>
      <c r="AR56" s="72"/>
      <c r="AS56" s="60"/>
      <c r="AT56" s="7"/>
      <c r="AU56" s="7"/>
      <c r="AV56" s="92"/>
      <c r="AW56" s="93"/>
      <c r="AX56" s="77"/>
      <c r="AY56" s="80"/>
      <c r="AZ56" s="94"/>
      <c r="BA56" s="94"/>
      <c r="BB56" s="80" t="s">
        <v>519</v>
      </c>
      <c r="BC56" s="95"/>
      <c r="BD56" s="92"/>
      <c r="BE56" s="92"/>
      <c r="BF56" s="92"/>
      <c r="BG56" s="92"/>
      <c r="BH56" s="92"/>
      <c r="BI56" s="92"/>
      <c r="BJ56" s="92"/>
      <c r="BK56" s="92"/>
      <c r="BL56" s="92"/>
      <c r="BM56" s="92"/>
      <c r="BN56" s="92"/>
      <c r="BO56" s="92"/>
      <c r="BP56" s="92"/>
      <c r="BQ56" s="92"/>
      <c r="BS56" s="6"/>
      <c r="BT56" s="11"/>
      <c r="BU56" s="6"/>
      <c r="BV56" s="6"/>
    </row>
    <row r="57" spans="1:74" ht="15.75" x14ac:dyDescent="0.25">
      <c r="A57" s="50" t="s">
        <v>449</v>
      </c>
      <c r="B57" s="52"/>
      <c r="C57" s="7" t="s">
        <v>118</v>
      </c>
      <c r="D57" s="7" t="s">
        <v>510</v>
      </c>
      <c r="E57" s="7"/>
      <c r="F57" s="55"/>
      <c r="G57" s="6"/>
      <c r="H57" s="6"/>
      <c r="I57" s="10" t="s">
        <v>110</v>
      </c>
      <c r="J57" s="11" t="s">
        <v>601</v>
      </c>
      <c r="K57" s="102" t="s">
        <v>512</v>
      </c>
      <c r="L57" s="98"/>
      <c r="M57" s="98">
        <v>1000</v>
      </c>
      <c r="N57" s="60" t="s">
        <v>513</v>
      </c>
      <c r="O57" s="88"/>
      <c r="P57" s="60" t="s">
        <v>602</v>
      </c>
      <c r="Q57" s="60"/>
      <c r="R57" s="60"/>
      <c r="S57" s="89"/>
      <c r="T57" s="106"/>
      <c r="U57" s="88"/>
      <c r="V57" s="91"/>
      <c r="W57" s="12" t="s">
        <v>515</v>
      </c>
      <c r="X57" s="103"/>
      <c r="Y57" s="6" t="s">
        <v>603</v>
      </c>
      <c r="Z57" s="64" t="s">
        <v>517</v>
      </c>
      <c r="AA57" s="12">
        <v>23</v>
      </c>
      <c r="AB57" s="6" t="s">
        <v>148</v>
      </c>
      <c r="AC57" s="64">
        <v>3060</v>
      </c>
      <c r="AJ57" s="60"/>
      <c r="AK57" s="67" t="s">
        <v>518</v>
      </c>
      <c r="AN57" s="60"/>
      <c r="AO57" s="60"/>
      <c r="AP57" s="60"/>
      <c r="AQ57" s="60"/>
      <c r="AR57" s="72"/>
      <c r="AS57" s="60"/>
      <c r="AT57" s="7"/>
      <c r="AU57" s="7"/>
      <c r="AV57" s="92"/>
      <c r="AW57" s="93"/>
      <c r="AX57" s="77"/>
      <c r="AY57" s="80"/>
      <c r="AZ57" s="94"/>
      <c r="BA57" s="94"/>
      <c r="BB57" s="80" t="s">
        <v>519</v>
      </c>
      <c r="BC57" s="95"/>
      <c r="BD57" s="92"/>
      <c r="BE57" s="92"/>
      <c r="BF57" s="92"/>
      <c r="BG57" s="92"/>
      <c r="BH57" s="92"/>
      <c r="BI57" s="92"/>
      <c r="BJ57" s="92"/>
      <c r="BK57" s="92"/>
      <c r="BL57" s="92"/>
      <c r="BM57" s="92"/>
      <c r="BN57" s="92"/>
      <c r="BO57" s="92"/>
      <c r="BP57" s="92"/>
      <c r="BQ57" s="92"/>
      <c r="BS57" s="6"/>
      <c r="BT57" s="11"/>
      <c r="BU57" s="6"/>
      <c r="BV57" s="6"/>
    </row>
    <row r="58" spans="1:74" ht="15.75" x14ac:dyDescent="0.25">
      <c r="A58" s="50" t="s">
        <v>449</v>
      </c>
      <c r="B58" s="52"/>
      <c r="C58" s="7" t="s">
        <v>118</v>
      </c>
      <c r="D58" s="7" t="s">
        <v>510</v>
      </c>
      <c r="E58" s="7"/>
      <c r="F58" s="55"/>
      <c r="G58" s="6"/>
      <c r="H58" s="6"/>
      <c r="I58" s="10" t="s">
        <v>110</v>
      </c>
      <c r="J58" s="11" t="s">
        <v>604</v>
      </c>
      <c r="K58" s="102" t="s">
        <v>512</v>
      </c>
      <c r="L58" s="98"/>
      <c r="M58" s="98">
        <v>1000</v>
      </c>
      <c r="N58" s="60" t="s">
        <v>513</v>
      </c>
      <c r="O58" s="88"/>
      <c r="P58" s="60" t="s">
        <v>605</v>
      </c>
      <c r="Q58" s="60"/>
      <c r="R58" s="60"/>
      <c r="S58" s="89"/>
      <c r="T58" s="106"/>
      <c r="U58" s="88"/>
      <c r="V58" s="91"/>
      <c r="W58" s="12" t="s">
        <v>515</v>
      </c>
      <c r="X58" s="103"/>
      <c r="Y58" s="6" t="s">
        <v>603</v>
      </c>
      <c r="Z58" s="64" t="s">
        <v>522</v>
      </c>
      <c r="AA58" s="12">
        <v>23</v>
      </c>
      <c r="AB58" s="6" t="s">
        <v>148</v>
      </c>
      <c r="AC58" s="64">
        <v>3084</v>
      </c>
      <c r="AJ58" s="60"/>
      <c r="AK58" s="67" t="s">
        <v>450</v>
      </c>
      <c r="AN58" s="60"/>
      <c r="AO58" s="60"/>
      <c r="AP58" s="60"/>
      <c r="AQ58" s="60"/>
      <c r="AR58" s="72"/>
      <c r="AS58" s="60"/>
      <c r="AT58" s="7"/>
      <c r="AU58" s="7"/>
      <c r="AV58" s="92"/>
      <c r="AW58" s="93"/>
      <c r="AX58" s="77"/>
      <c r="AY58" s="80"/>
      <c r="AZ58" s="94"/>
      <c r="BA58" s="94"/>
      <c r="BB58" s="80" t="s">
        <v>519</v>
      </c>
      <c r="BC58" s="95"/>
      <c r="BD58" s="92"/>
      <c r="BE58" s="92"/>
      <c r="BF58" s="92"/>
      <c r="BG58" s="92"/>
      <c r="BH58" s="92"/>
      <c r="BI58" s="92"/>
      <c r="BJ58" s="92"/>
      <c r="BK58" s="92"/>
      <c r="BL58" s="92"/>
      <c r="BM58" s="92"/>
      <c r="BN58" s="92"/>
      <c r="BO58" s="92"/>
      <c r="BP58" s="92"/>
      <c r="BQ58" s="92"/>
      <c r="BS58" s="6"/>
      <c r="BT58" s="11"/>
      <c r="BU58" s="6"/>
      <c r="BV58" s="6"/>
    </row>
    <row r="59" spans="1:74" ht="15.75" x14ac:dyDescent="0.25">
      <c r="A59" s="50" t="s">
        <v>449</v>
      </c>
      <c r="B59" s="52"/>
      <c r="C59" s="7" t="s">
        <v>118</v>
      </c>
      <c r="D59" s="7" t="s">
        <v>510</v>
      </c>
      <c r="E59" s="7"/>
      <c r="F59" s="55"/>
      <c r="G59" s="6"/>
      <c r="H59" s="6"/>
      <c r="I59" s="10" t="s">
        <v>110</v>
      </c>
      <c r="J59" s="11" t="s">
        <v>606</v>
      </c>
      <c r="K59" s="102" t="s">
        <v>512</v>
      </c>
      <c r="L59" s="98"/>
      <c r="M59" s="98">
        <v>1000</v>
      </c>
      <c r="N59" s="60" t="s">
        <v>513</v>
      </c>
      <c r="O59" s="88"/>
      <c r="P59" s="60" t="s">
        <v>607</v>
      </c>
      <c r="Q59" s="60"/>
      <c r="R59" s="60"/>
      <c r="S59" s="89"/>
      <c r="T59" s="106"/>
      <c r="U59" s="88"/>
      <c r="V59" s="91"/>
      <c r="W59" s="12" t="s">
        <v>515</v>
      </c>
      <c r="X59" s="103"/>
      <c r="Y59" s="6" t="s">
        <v>608</v>
      </c>
      <c r="Z59" s="64" t="s">
        <v>517</v>
      </c>
      <c r="AA59" s="12">
        <v>24</v>
      </c>
      <c r="AB59" s="6" t="s">
        <v>148</v>
      </c>
      <c r="AC59" s="64">
        <v>3060</v>
      </c>
      <c r="AJ59" s="60"/>
      <c r="AK59" s="67" t="s">
        <v>518</v>
      </c>
      <c r="AN59" s="60"/>
      <c r="AO59" s="60"/>
      <c r="AP59" s="60"/>
      <c r="AQ59" s="60"/>
      <c r="AR59" s="72"/>
      <c r="AS59" s="60"/>
      <c r="AT59" s="7"/>
      <c r="AU59" s="7"/>
      <c r="AV59" s="92"/>
      <c r="AW59" s="93"/>
      <c r="AX59" s="77"/>
      <c r="AY59" s="80"/>
      <c r="AZ59" s="94"/>
      <c r="BA59" s="94"/>
      <c r="BB59" s="80" t="s">
        <v>519</v>
      </c>
      <c r="BC59" s="95"/>
      <c r="BD59" s="92"/>
      <c r="BE59" s="92"/>
      <c r="BF59" s="92"/>
      <c r="BG59" s="92"/>
      <c r="BH59" s="92"/>
      <c r="BI59" s="92"/>
      <c r="BJ59" s="92"/>
      <c r="BK59" s="92"/>
      <c r="BL59" s="92"/>
      <c r="BM59" s="92"/>
      <c r="BN59" s="92"/>
      <c r="BO59" s="92"/>
      <c r="BP59" s="92"/>
      <c r="BQ59" s="92"/>
      <c r="BS59" s="6"/>
      <c r="BT59" s="11"/>
      <c r="BU59" s="6"/>
      <c r="BV59" s="6"/>
    </row>
    <row r="60" spans="1:74" ht="15.75" x14ac:dyDescent="0.25">
      <c r="A60" s="50" t="s">
        <v>449</v>
      </c>
      <c r="B60" s="52"/>
      <c r="C60" s="7" t="s">
        <v>118</v>
      </c>
      <c r="D60" s="7" t="s">
        <v>510</v>
      </c>
      <c r="E60" s="7"/>
      <c r="F60" s="55"/>
      <c r="G60" s="6"/>
      <c r="H60" s="6"/>
      <c r="I60" s="10" t="s">
        <v>110</v>
      </c>
      <c r="J60" s="11" t="s">
        <v>609</v>
      </c>
      <c r="K60" s="102" t="s">
        <v>512</v>
      </c>
      <c r="L60" s="98"/>
      <c r="M60" s="98">
        <v>1000</v>
      </c>
      <c r="N60" s="60" t="s">
        <v>513</v>
      </c>
      <c r="O60" s="88"/>
      <c r="P60" s="60" t="s">
        <v>610</v>
      </c>
      <c r="Q60" s="60"/>
      <c r="R60" s="60"/>
      <c r="S60" s="89"/>
      <c r="T60" s="106"/>
      <c r="U60" s="88"/>
      <c r="V60" s="91"/>
      <c r="W60" s="12" t="s">
        <v>515</v>
      </c>
      <c r="X60" s="103"/>
      <c r="Y60" s="6" t="s">
        <v>608</v>
      </c>
      <c r="Z60" s="64" t="s">
        <v>522</v>
      </c>
      <c r="AA60" s="12">
        <v>24</v>
      </c>
      <c r="AB60" s="6" t="s">
        <v>148</v>
      </c>
      <c r="AC60" s="64">
        <v>3084</v>
      </c>
      <c r="AJ60" s="60"/>
      <c r="AK60" s="67" t="s">
        <v>450</v>
      </c>
      <c r="AN60" s="60"/>
      <c r="AO60" s="60"/>
      <c r="AP60" s="60"/>
      <c r="AQ60" s="60"/>
      <c r="AR60" s="72"/>
      <c r="AS60" s="60"/>
      <c r="AT60" s="7"/>
      <c r="AU60" s="7"/>
      <c r="AV60" s="92"/>
      <c r="AW60" s="93"/>
      <c r="AX60" s="77"/>
      <c r="AY60" s="80"/>
      <c r="AZ60" s="94"/>
      <c r="BA60" s="94"/>
      <c r="BB60" s="80" t="s">
        <v>519</v>
      </c>
      <c r="BC60" s="95"/>
      <c r="BD60" s="92"/>
      <c r="BE60" s="92"/>
      <c r="BF60" s="92"/>
      <c r="BG60" s="92"/>
      <c r="BH60" s="92"/>
      <c r="BI60" s="92"/>
      <c r="BJ60" s="92"/>
      <c r="BK60" s="92"/>
      <c r="BL60" s="92"/>
      <c r="BM60" s="92"/>
      <c r="BN60" s="92"/>
      <c r="BO60" s="92"/>
      <c r="BP60" s="92"/>
      <c r="BQ60" s="92"/>
      <c r="BS60" s="6"/>
      <c r="BT60" s="11"/>
      <c r="BU60" s="6"/>
      <c r="BV60" s="6"/>
    </row>
    <row r="61" spans="1:74" ht="15.75" x14ac:dyDescent="0.25">
      <c r="A61" s="50" t="s">
        <v>449</v>
      </c>
      <c r="B61" s="52"/>
      <c r="C61" s="7" t="s">
        <v>118</v>
      </c>
      <c r="D61" s="7" t="s">
        <v>510</v>
      </c>
      <c r="E61" s="7"/>
      <c r="F61" s="55"/>
      <c r="G61" s="6"/>
      <c r="H61" s="6"/>
      <c r="I61" s="10" t="s">
        <v>110</v>
      </c>
      <c r="J61" s="11" t="s">
        <v>611</v>
      </c>
      <c r="K61" s="102" t="s">
        <v>512</v>
      </c>
      <c r="L61" s="98"/>
      <c r="M61" s="98">
        <v>1000</v>
      </c>
      <c r="N61" s="60" t="s">
        <v>513</v>
      </c>
      <c r="O61" s="88"/>
      <c r="P61" s="60" t="s">
        <v>612</v>
      </c>
      <c r="Q61" s="60"/>
      <c r="R61" s="60"/>
      <c r="S61" s="89"/>
      <c r="T61" s="106"/>
      <c r="U61" s="88"/>
      <c r="V61" s="91"/>
      <c r="W61" s="12" t="s">
        <v>515</v>
      </c>
      <c r="X61" s="103"/>
      <c r="Y61" s="6" t="s">
        <v>613</v>
      </c>
      <c r="Z61" s="64" t="s">
        <v>517</v>
      </c>
      <c r="AA61" s="12">
        <v>25</v>
      </c>
      <c r="AB61" s="6" t="s">
        <v>148</v>
      </c>
      <c r="AC61" s="64">
        <v>3060</v>
      </c>
      <c r="AJ61" s="60"/>
      <c r="AK61" s="67" t="s">
        <v>518</v>
      </c>
      <c r="AN61" s="60"/>
      <c r="AO61" s="60"/>
      <c r="AP61" s="60"/>
      <c r="AQ61" s="60"/>
      <c r="AR61" s="72"/>
      <c r="AS61" s="60"/>
      <c r="AT61" s="7"/>
      <c r="AU61" s="7"/>
      <c r="AV61" s="92"/>
      <c r="AW61" s="93"/>
      <c r="AX61" s="77"/>
      <c r="AY61" s="80"/>
      <c r="AZ61" s="94"/>
      <c r="BA61" s="94"/>
      <c r="BB61" s="80" t="s">
        <v>519</v>
      </c>
      <c r="BC61" s="95"/>
      <c r="BD61" s="92"/>
      <c r="BE61" s="92"/>
      <c r="BF61" s="92"/>
      <c r="BG61" s="92"/>
      <c r="BH61" s="92"/>
      <c r="BI61" s="92"/>
      <c r="BJ61" s="92"/>
      <c r="BK61" s="92"/>
      <c r="BL61" s="92"/>
      <c r="BM61" s="92"/>
      <c r="BN61" s="92"/>
      <c r="BO61" s="92"/>
      <c r="BP61" s="92"/>
      <c r="BQ61" s="92"/>
      <c r="BS61" s="6"/>
      <c r="BT61" s="11"/>
      <c r="BU61" s="6"/>
      <c r="BV61" s="6"/>
    </row>
    <row r="62" spans="1:74" ht="15.75" x14ac:dyDescent="0.25">
      <c r="A62" s="50" t="s">
        <v>449</v>
      </c>
      <c r="B62" s="52"/>
      <c r="C62" s="7" t="s">
        <v>118</v>
      </c>
      <c r="D62" s="7" t="s">
        <v>510</v>
      </c>
      <c r="E62" s="7"/>
      <c r="F62" s="55"/>
      <c r="G62" s="6"/>
      <c r="H62" s="6"/>
      <c r="I62" s="10" t="s">
        <v>110</v>
      </c>
      <c r="J62" s="11" t="s">
        <v>614</v>
      </c>
      <c r="K62" s="102" t="s">
        <v>512</v>
      </c>
      <c r="L62" s="98"/>
      <c r="M62" s="98">
        <v>1000</v>
      </c>
      <c r="N62" s="60" t="s">
        <v>513</v>
      </c>
      <c r="O62" s="88"/>
      <c r="P62" s="60" t="s">
        <v>615</v>
      </c>
      <c r="Q62" s="60"/>
      <c r="R62" s="60"/>
      <c r="S62" s="89"/>
      <c r="T62" s="106"/>
      <c r="U62" s="88"/>
      <c r="V62" s="91"/>
      <c r="W62" s="12" t="s">
        <v>515</v>
      </c>
      <c r="X62" s="103"/>
      <c r="Y62" s="6" t="s">
        <v>613</v>
      </c>
      <c r="Z62" s="64" t="s">
        <v>522</v>
      </c>
      <c r="AA62" s="12">
        <v>25</v>
      </c>
      <c r="AB62" s="6" t="s">
        <v>148</v>
      </c>
      <c r="AC62" s="64">
        <v>3084</v>
      </c>
      <c r="AJ62" s="60"/>
      <c r="AK62" s="67" t="s">
        <v>450</v>
      </c>
      <c r="AN62" s="60"/>
      <c r="AO62" s="60"/>
      <c r="AP62" s="60"/>
      <c r="AQ62" s="60"/>
      <c r="AR62" s="72"/>
      <c r="AS62" s="60"/>
      <c r="AT62" s="7"/>
      <c r="AU62" s="7"/>
      <c r="AV62" s="92"/>
      <c r="AW62" s="93"/>
      <c r="AX62" s="77"/>
      <c r="AY62" s="80"/>
      <c r="AZ62" s="94"/>
      <c r="BA62" s="94"/>
      <c r="BB62" s="80" t="s">
        <v>519</v>
      </c>
      <c r="BC62" s="95"/>
      <c r="BD62" s="92"/>
      <c r="BE62" s="92"/>
      <c r="BF62" s="92"/>
      <c r="BG62" s="92"/>
      <c r="BH62" s="92"/>
      <c r="BI62" s="92"/>
      <c r="BJ62" s="92"/>
      <c r="BK62" s="92"/>
      <c r="BL62" s="92"/>
      <c r="BM62" s="92"/>
      <c r="BN62" s="92"/>
      <c r="BO62" s="92"/>
      <c r="BP62" s="92"/>
      <c r="BQ62" s="92"/>
      <c r="BS62" s="6"/>
      <c r="BT62" s="11"/>
      <c r="BU62" s="6"/>
      <c r="BV62" s="6"/>
    </row>
    <row r="63" spans="1:74" ht="15.75" x14ac:dyDescent="0.25">
      <c r="A63" s="50" t="s">
        <v>449</v>
      </c>
      <c r="B63" s="52"/>
      <c r="C63" s="7" t="s">
        <v>118</v>
      </c>
      <c r="D63" s="7" t="s">
        <v>510</v>
      </c>
      <c r="E63" s="7"/>
      <c r="F63" s="55"/>
      <c r="G63" s="6"/>
      <c r="H63" s="6"/>
      <c r="I63" s="10" t="s">
        <v>110</v>
      </c>
      <c r="J63" s="11" t="s">
        <v>616</v>
      </c>
      <c r="K63" s="102" t="s">
        <v>512</v>
      </c>
      <c r="L63" s="98"/>
      <c r="M63" s="98">
        <v>1000</v>
      </c>
      <c r="N63" s="60" t="s">
        <v>513</v>
      </c>
      <c r="O63" s="88"/>
      <c r="P63" s="60" t="s">
        <v>617</v>
      </c>
      <c r="Q63" s="60"/>
      <c r="R63" s="60"/>
      <c r="S63" s="89"/>
      <c r="T63" s="106"/>
      <c r="U63" s="88"/>
      <c r="V63" s="91"/>
      <c r="W63" s="12" t="s">
        <v>515</v>
      </c>
      <c r="X63" s="103"/>
      <c r="Y63" s="6" t="s">
        <v>618</v>
      </c>
      <c r="Z63" s="64" t="s">
        <v>517</v>
      </c>
      <c r="AA63" s="12">
        <v>26</v>
      </c>
      <c r="AB63" s="6" t="s">
        <v>148</v>
      </c>
      <c r="AC63" s="64">
        <v>3060</v>
      </c>
      <c r="AJ63" s="60"/>
      <c r="AK63" s="67" t="s">
        <v>518</v>
      </c>
      <c r="AN63" s="60"/>
      <c r="AO63" s="60"/>
      <c r="AP63" s="60"/>
      <c r="AQ63" s="60"/>
      <c r="AR63" s="72"/>
      <c r="AS63" s="60"/>
      <c r="AT63" s="7"/>
      <c r="AU63" s="7"/>
      <c r="AV63" s="92"/>
      <c r="AW63" s="93"/>
      <c r="AX63" s="77"/>
      <c r="AY63" s="80"/>
      <c r="AZ63" s="94"/>
      <c r="BA63" s="94"/>
      <c r="BB63" s="80" t="s">
        <v>519</v>
      </c>
      <c r="BC63" s="95"/>
      <c r="BD63" s="92"/>
      <c r="BE63" s="92"/>
      <c r="BF63" s="92"/>
      <c r="BG63" s="92"/>
      <c r="BH63" s="92"/>
      <c r="BI63" s="92"/>
      <c r="BJ63" s="92"/>
      <c r="BK63" s="92"/>
      <c r="BL63" s="92"/>
      <c r="BM63" s="92"/>
      <c r="BN63" s="92"/>
      <c r="BO63" s="92"/>
      <c r="BP63" s="92"/>
      <c r="BQ63" s="92"/>
      <c r="BS63" s="6"/>
      <c r="BT63" s="11"/>
      <c r="BU63" s="6"/>
      <c r="BV63" s="6"/>
    </row>
    <row r="64" spans="1:74" ht="15.75" x14ac:dyDescent="0.25">
      <c r="A64" s="50" t="s">
        <v>449</v>
      </c>
      <c r="B64" s="52"/>
      <c r="C64" s="7" t="s">
        <v>118</v>
      </c>
      <c r="D64" s="7" t="s">
        <v>510</v>
      </c>
      <c r="E64" s="7"/>
      <c r="F64" s="55"/>
      <c r="G64" s="6"/>
      <c r="H64" s="6"/>
      <c r="I64" s="10" t="s">
        <v>110</v>
      </c>
      <c r="J64" s="11" t="s">
        <v>619</v>
      </c>
      <c r="K64" s="102" t="s">
        <v>512</v>
      </c>
      <c r="L64" s="98"/>
      <c r="M64" s="98">
        <v>1000</v>
      </c>
      <c r="N64" s="60" t="s">
        <v>513</v>
      </c>
      <c r="O64" s="88"/>
      <c r="P64" s="60" t="s">
        <v>620</v>
      </c>
      <c r="Q64" s="60"/>
      <c r="R64" s="60"/>
      <c r="S64" s="89"/>
      <c r="T64" s="106"/>
      <c r="U64" s="88"/>
      <c r="V64" s="91"/>
      <c r="W64" s="12" t="s">
        <v>515</v>
      </c>
      <c r="X64" s="103"/>
      <c r="Y64" s="6" t="s">
        <v>618</v>
      </c>
      <c r="Z64" s="64" t="s">
        <v>522</v>
      </c>
      <c r="AA64" s="12">
        <v>26</v>
      </c>
      <c r="AB64" s="6" t="s">
        <v>148</v>
      </c>
      <c r="AC64" s="64">
        <v>3084</v>
      </c>
      <c r="AJ64" s="60"/>
      <c r="AK64" s="67" t="s">
        <v>450</v>
      </c>
      <c r="AN64" s="60"/>
      <c r="AO64" s="60"/>
      <c r="AP64" s="60"/>
      <c r="AQ64" s="60"/>
      <c r="AR64" s="72"/>
      <c r="AS64" s="60"/>
      <c r="AT64" s="7"/>
      <c r="AU64" s="7"/>
      <c r="AV64" s="92"/>
      <c r="AW64" s="93"/>
      <c r="AX64" s="77"/>
      <c r="AY64" s="80"/>
      <c r="AZ64" s="94"/>
      <c r="BA64" s="94"/>
      <c r="BB64" s="80" t="s">
        <v>519</v>
      </c>
      <c r="BC64" s="95"/>
      <c r="BD64" s="92"/>
      <c r="BE64" s="92"/>
      <c r="BF64" s="92"/>
      <c r="BG64" s="92"/>
      <c r="BH64" s="92"/>
      <c r="BI64" s="92"/>
      <c r="BJ64" s="92"/>
      <c r="BK64" s="92"/>
      <c r="BL64" s="92"/>
      <c r="BM64" s="92"/>
      <c r="BN64" s="92"/>
      <c r="BO64" s="92"/>
      <c r="BP64" s="92"/>
      <c r="BQ64" s="92"/>
      <c r="BS64" s="6"/>
      <c r="BT64" s="11"/>
      <c r="BU64" s="6"/>
      <c r="BV64" s="6"/>
    </row>
    <row r="65" spans="1:74" ht="15.75" x14ac:dyDescent="0.25">
      <c r="A65" s="50" t="s">
        <v>449</v>
      </c>
      <c r="B65" s="52"/>
      <c r="C65" s="7" t="s">
        <v>118</v>
      </c>
      <c r="D65" s="7" t="s">
        <v>510</v>
      </c>
      <c r="E65" s="7"/>
      <c r="F65" s="55"/>
      <c r="G65" s="6"/>
      <c r="H65" s="6"/>
      <c r="I65" s="10" t="s">
        <v>110</v>
      </c>
      <c r="J65" s="11" t="s">
        <v>621</v>
      </c>
      <c r="K65" s="102" t="s">
        <v>512</v>
      </c>
      <c r="L65" s="98"/>
      <c r="M65" s="98">
        <v>1000</v>
      </c>
      <c r="N65" s="60" t="s">
        <v>513</v>
      </c>
      <c r="O65" s="88"/>
      <c r="P65" s="60" t="s">
        <v>622</v>
      </c>
      <c r="Q65" s="60"/>
      <c r="R65" s="60"/>
      <c r="S65" s="89"/>
      <c r="T65" s="106"/>
      <c r="U65" s="88"/>
      <c r="V65" s="91"/>
      <c r="W65" s="12" t="s">
        <v>515</v>
      </c>
      <c r="X65" s="103"/>
      <c r="Y65" s="6" t="s">
        <v>623</v>
      </c>
      <c r="Z65" s="64" t="s">
        <v>517</v>
      </c>
      <c r="AA65" s="12">
        <v>27</v>
      </c>
      <c r="AB65" s="6" t="s">
        <v>148</v>
      </c>
      <c r="AC65" s="64">
        <v>3060</v>
      </c>
      <c r="AJ65" s="60"/>
      <c r="AK65" s="67" t="s">
        <v>518</v>
      </c>
      <c r="AN65" s="60"/>
      <c r="AO65" s="60"/>
      <c r="AP65" s="60"/>
      <c r="AQ65" s="60"/>
      <c r="AR65" s="72"/>
      <c r="AS65" s="60"/>
      <c r="AT65" s="7"/>
      <c r="AU65" s="7"/>
      <c r="AV65" s="92"/>
      <c r="AW65" s="93"/>
      <c r="AX65" s="77"/>
      <c r="AY65" s="80"/>
      <c r="AZ65" s="94"/>
      <c r="BA65" s="94"/>
      <c r="BB65" s="80" t="s">
        <v>519</v>
      </c>
      <c r="BC65" s="95"/>
      <c r="BD65" s="92"/>
      <c r="BE65" s="92"/>
      <c r="BF65" s="92"/>
      <c r="BG65" s="92"/>
      <c r="BH65" s="92"/>
      <c r="BI65" s="92"/>
      <c r="BJ65" s="92"/>
      <c r="BK65" s="92"/>
      <c r="BL65" s="92"/>
      <c r="BM65" s="92"/>
      <c r="BN65" s="92"/>
      <c r="BO65" s="92"/>
      <c r="BP65" s="92"/>
      <c r="BQ65" s="92"/>
      <c r="BS65" s="6"/>
      <c r="BT65" s="11"/>
      <c r="BU65" s="6"/>
      <c r="BV65" s="6"/>
    </row>
    <row r="66" spans="1:74" ht="15.75" x14ac:dyDescent="0.25">
      <c r="A66" s="50" t="s">
        <v>449</v>
      </c>
      <c r="B66" s="52"/>
      <c r="C66" s="7" t="s">
        <v>118</v>
      </c>
      <c r="D66" s="7" t="s">
        <v>510</v>
      </c>
      <c r="E66" s="7"/>
      <c r="F66" s="55"/>
      <c r="G66" s="6"/>
      <c r="H66" s="6"/>
      <c r="I66" s="10" t="s">
        <v>110</v>
      </c>
      <c r="J66" s="11" t="s">
        <v>624</v>
      </c>
      <c r="K66" s="102" t="s">
        <v>512</v>
      </c>
      <c r="L66" s="98"/>
      <c r="M66" s="98">
        <v>1000</v>
      </c>
      <c r="N66" s="60" t="s">
        <v>513</v>
      </c>
      <c r="O66" s="88"/>
      <c r="P66" s="60" t="s">
        <v>625</v>
      </c>
      <c r="Q66" s="60"/>
      <c r="R66" s="60"/>
      <c r="S66" s="89"/>
      <c r="T66" s="106"/>
      <c r="U66" s="88"/>
      <c r="V66" s="91"/>
      <c r="W66" s="12" t="s">
        <v>515</v>
      </c>
      <c r="X66" s="103"/>
      <c r="Y66" s="6" t="s">
        <v>623</v>
      </c>
      <c r="Z66" s="64" t="s">
        <v>522</v>
      </c>
      <c r="AA66" s="12">
        <v>27</v>
      </c>
      <c r="AB66" s="6" t="s">
        <v>148</v>
      </c>
      <c r="AC66" s="64">
        <v>3084</v>
      </c>
      <c r="AJ66" s="60"/>
      <c r="AK66" s="67" t="s">
        <v>450</v>
      </c>
      <c r="AN66" s="60"/>
      <c r="AO66" s="60"/>
      <c r="AP66" s="60"/>
      <c r="AQ66" s="60"/>
      <c r="AR66" s="72"/>
      <c r="AS66" s="60"/>
      <c r="AT66" s="7"/>
      <c r="AU66" s="7"/>
      <c r="AV66" s="92"/>
      <c r="AW66" s="93"/>
      <c r="AX66" s="77"/>
      <c r="AY66" s="80"/>
      <c r="AZ66" s="94"/>
      <c r="BA66" s="94"/>
      <c r="BB66" s="80" t="s">
        <v>519</v>
      </c>
      <c r="BC66" s="95"/>
      <c r="BD66" s="92"/>
      <c r="BE66" s="92"/>
      <c r="BF66" s="92"/>
      <c r="BG66" s="92"/>
      <c r="BH66" s="92"/>
      <c r="BI66" s="92"/>
      <c r="BJ66" s="92"/>
      <c r="BK66" s="92"/>
      <c r="BL66" s="92"/>
      <c r="BM66" s="92"/>
      <c r="BN66" s="92"/>
      <c r="BO66" s="92"/>
      <c r="BP66" s="92"/>
      <c r="BQ66" s="92"/>
      <c r="BS66" s="6"/>
      <c r="BT66" s="11"/>
      <c r="BU66" s="6"/>
      <c r="BV66" s="6"/>
    </row>
    <row r="67" spans="1:74" ht="15.75" x14ac:dyDescent="0.25">
      <c r="A67" s="50" t="s">
        <v>449</v>
      </c>
      <c r="B67" s="52"/>
      <c r="C67" s="7" t="s">
        <v>118</v>
      </c>
      <c r="D67" s="7" t="s">
        <v>510</v>
      </c>
      <c r="E67" s="7"/>
      <c r="F67" s="55"/>
      <c r="G67" s="6"/>
      <c r="H67" s="6"/>
      <c r="I67" s="10" t="s">
        <v>110</v>
      </c>
      <c r="J67" s="11" t="s">
        <v>626</v>
      </c>
      <c r="K67" s="102" t="s">
        <v>512</v>
      </c>
      <c r="L67" s="98"/>
      <c r="M67" s="98">
        <v>1000</v>
      </c>
      <c r="N67" s="60" t="s">
        <v>513</v>
      </c>
      <c r="O67" s="88"/>
      <c r="P67" s="60" t="s">
        <v>627</v>
      </c>
      <c r="Q67" s="60"/>
      <c r="R67" s="60"/>
      <c r="S67" s="89"/>
      <c r="T67" s="106"/>
      <c r="U67" s="88"/>
      <c r="V67" s="91"/>
      <c r="W67" s="12" t="s">
        <v>515</v>
      </c>
      <c r="X67" s="103"/>
      <c r="Y67" s="6" t="s">
        <v>628</v>
      </c>
      <c r="Z67" s="64" t="s">
        <v>517</v>
      </c>
      <c r="AA67" s="12">
        <v>28</v>
      </c>
      <c r="AB67" s="6" t="s">
        <v>148</v>
      </c>
      <c r="AC67" s="64">
        <v>3060</v>
      </c>
      <c r="AJ67" s="60"/>
      <c r="AK67" s="67" t="s">
        <v>518</v>
      </c>
      <c r="AN67" s="60"/>
      <c r="AO67" s="60"/>
      <c r="AP67" s="60"/>
      <c r="AQ67" s="60"/>
      <c r="AR67" s="72"/>
      <c r="AS67" s="60"/>
      <c r="AT67" s="7"/>
      <c r="AU67" s="7"/>
      <c r="AV67" s="92"/>
      <c r="AW67" s="93"/>
      <c r="AX67" s="77"/>
      <c r="AY67" s="80"/>
      <c r="AZ67" s="94"/>
      <c r="BA67" s="94"/>
      <c r="BB67" s="80" t="s">
        <v>519</v>
      </c>
      <c r="BC67" s="95"/>
      <c r="BD67" s="92"/>
      <c r="BE67" s="92"/>
      <c r="BF67" s="92"/>
      <c r="BG67" s="92"/>
      <c r="BH67" s="92"/>
      <c r="BI67" s="92"/>
      <c r="BJ67" s="92"/>
      <c r="BK67" s="92"/>
      <c r="BL67" s="92"/>
      <c r="BM67" s="92"/>
      <c r="BN67" s="92"/>
      <c r="BO67" s="92"/>
      <c r="BP67" s="92"/>
      <c r="BQ67" s="92"/>
      <c r="BS67" s="6"/>
      <c r="BT67" s="11"/>
      <c r="BU67" s="6"/>
      <c r="BV67" s="6"/>
    </row>
    <row r="68" spans="1:74" ht="15.75" x14ac:dyDescent="0.25">
      <c r="A68" s="50" t="s">
        <v>449</v>
      </c>
      <c r="B68" s="52"/>
      <c r="C68" s="7" t="s">
        <v>118</v>
      </c>
      <c r="D68" s="7" t="s">
        <v>510</v>
      </c>
      <c r="E68" s="7"/>
      <c r="F68" s="55"/>
      <c r="G68" s="6"/>
      <c r="H68" s="6"/>
      <c r="I68" s="10" t="s">
        <v>110</v>
      </c>
      <c r="J68" s="11" t="s">
        <v>629</v>
      </c>
      <c r="K68" s="102" t="s">
        <v>512</v>
      </c>
      <c r="L68" s="98"/>
      <c r="M68" s="98">
        <v>1000</v>
      </c>
      <c r="N68" s="60" t="s">
        <v>513</v>
      </c>
      <c r="O68" s="88"/>
      <c r="P68" s="60" t="s">
        <v>630</v>
      </c>
      <c r="Q68" s="60"/>
      <c r="R68" s="60"/>
      <c r="S68" s="89"/>
      <c r="T68" s="106"/>
      <c r="U68" s="88"/>
      <c r="V68" s="91"/>
      <c r="W68" s="12" t="s">
        <v>515</v>
      </c>
      <c r="X68" s="103"/>
      <c r="Y68" s="6" t="s">
        <v>628</v>
      </c>
      <c r="Z68" s="64" t="s">
        <v>522</v>
      </c>
      <c r="AA68" s="12">
        <v>28</v>
      </c>
      <c r="AB68" s="6" t="s">
        <v>148</v>
      </c>
      <c r="AC68" s="64">
        <v>3084</v>
      </c>
      <c r="AJ68" s="60"/>
      <c r="AK68" s="67" t="s">
        <v>450</v>
      </c>
      <c r="AN68" s="60"/>
      <c r="AO68" s="60"/>
      <c r="AP68" s="60"/>
      <c r="AQ68" s="60"/>
      <c r="AR68" s="72"/>
      <c r="AS68" s="60"/>
      <c r="AT68" s="7"/>
      <c r="AU68" s="7"/>
      <c r="AV68" s="92"/>
      <c r="AW68" s="93"/>
      <c r="AX68" s="77"/>
      <c r="AY68" s="80"/>
      <c r="AZ68" s="94"/>
      <c r="BA68" s="94"/>
      <c r="BB68" s="80" t="s">
        <v>519</v>
      </c>
      <c r="BC68" s="95"/>
      <c r="BD68" s="92"/>
      <c r="BE68" s="92"/>
      <c r="BF68" s="92"/>
      <c r="BG68" s="92"/>
      <c r="BH68" s="92"/>
      <c r="BI68" s="92"/>
      <c r="BJ68" s="92"/>
      <c r="BK68" s="92"/>
      <c r="BL68" s="92"/>
      <c r="BM68" s="92"/>
      <c r="BN68" s="92"/>
      <c r="BO68" s="92"/>
      <c r="BP68" s="92"/>
      <c r="BQ68" s="92"/>
      <c r="BS68" s="6"/>
      <c r="BT68" s="11"/>
      <c r="BU68" s="6"/>
      <c r="BV68" s="6"/>
    </row>
    <row r="69" spans="1:74" ht="15.75" x14ac:dyDescent="0.25">
      <c r="A69" s="50" t="s">
        <v>449</v>
      </c>
      <c r="B69" s="52"/>
      <c r="C69" s="7" t="s">
        <v>118</v>
      </c>
      <c r="D69" s="7" t="s">
        <v>510</v>
      </c>
      <c r="E69" s="7"/>
      <c r="F69" s="55"/>
      <c r="G69" s="6"/>
      <c r="H69" s="6"/>
      <c r="I69" s="10" t="s">
        <v>110</v>
      </c>
      <c r="J69" s="11" t="s">
        <v>631</v>
      </c>
      <c r="K69" s="102" t="s">
        <v>512</v>
      </c>
      <c r="L69" s="98"/>
      <c r="M69" s="98">
        <v>1000</v>
      </c>
      <c r="N69" s="60" t="s">
        <v>513</v>
      </c>
      <c r="O69" s="88"/>
      <c r="P69" s="60" t="s">
        <v>632</v>
      </c>
      <c r="Q69" s="60"/>
      <c r="R69" s="60"/>
      <c r="S69" s="89"/>
      <c r="T69" s="106"/>
      <c r="U69" s="88"/>
      <c r="V69" s="91"/>
      <c r="W69" s="12" t="s">
        <v>515</v>
      </c>
      <c r="X69" s="103"/>
      <c r="Y69" s="6" t="s">
        <v>633</v>
      </c>
      <c r="Z69" s="64" t="s">
        <v>517</v>
      </c>
      <c r="AA69" s="12">
        <v>29</v>
      </c>
      <c r="AB69" s="6" t="s">
        <v>148</v>
      </c>
      <c r="AC69" s="64">
        <v>3060</v>
      </c>
      <c r="AJ69" s="60"/>
      <c r="AK69" s="67" t="s">
        <v>518</v>
      </c>
      <c r="AN69" s="60"/>
      <c r="AO69" s="60"/>
      <c r="AP69" s="60"/>
      <c r="AQ69" s="60"/>
      <c r="AR69" s="72"/>
      <c r="AS69" s="60"/>
      <c r="AT69" s="7"/>
      <c r="AU69" s="7"/>
      <c r="AV69" s="92"/>
      <c r="AW69" s="93"/>
      <c r="AX69" s="77"/>
      <c r="AY69" s="80"/>
      <c r="AZ69" s="94"/>
      <c r="BA69" s="94"/>
      <c r="BB69" s="80" t="s">
        <v>519</v>
      </c>
      <c r="BC69" s="95"/>
      <c r="BD69" s="92"/>
      <c r="BE69" s="92"/>
      <c r="BF69" s="92"/>
      <c r="BG69" s="92"/>
      <c r="BH69" s="92"/>
      <c r="BI69" s="92"/>
      <c r="BJ69" s="92"/>
      <c r="BK69" s="92"/>
      <c r="BL69" s="92"/>
      <c r="BM69" s="92"/>
      <c r="BN69" s="92"/>
      <c r="BO69" s="92"/>
      <c r="BP69" s="92"/>
      <c r="BQ69" s="92"/>
      <c r="BS69" s="6"/>
      <c r="BT69" s="11"/>
      <c r="BU69" s="6"/>
      <c r="BV69" s="6"/>
    </row>
    <row r="70" spans="1:74" ht="15.75" x14ac:dyDescent="0.25">
      <c r="A70" s="50" t="s">
        <v>449</v>
      </c>
      <c r="B70" s="52"/>
      <c r="C70" s="7" t="s">
        <v>118</v>
      </c>
      <c r="D70" s="7" t="s">
        <v>510</v>
      </c>
      <c r="E70" s="7"/>
      <c r="F70" s="55"/>
      <c r="G70" s="6"/>
      <c r="H70" s="6"/>
      <c r="I70" s="10" t="s">
        <v>110</v>
      </c>
      <c r="J70" s="11" t="s">
        <v>634</v>
      </c>
      <c r="K70" s="102" t="s">
        <v>512</v>
      </c>
      <c r="L70" s="98"/>
      <c r="M70" s="98">
        <v>1000</v>
      </c>
      <c r="N70" s="60" t="s">
        <v>513</v>
      </c>
      <c r="O70" s="88"/>
      <c r="P70" s="60" t="s">
        <v>635</v>
      </c>
      <c r="Q70" s="60"/>
      <c r="R70" s="60"/>
      <c r="S70" s="89"/>
      <c r="T70" s="106"/>
      <c r="U70" s="88"/>
      <c r="V70" s="91"/>
      <c r="W70" s="12" t="s">
        <v>515</v>
      </c>
      <c r="X70" s="103"/>
      <c r="Y70" s="6" t="s">
        <v>633</v>
      </c>
      <c r="Z70" s="64" t="s">
        <v>522</v>
      </c>
      <c r="AA70" s="12">
        <v>29</v>
      </c>
      <c r="AB70" s="6" t="s">
        <v>148</v>
      </c>
      <c r="AC70" s="64">
        <v>3084</v>
      </c>
      <c r="AJ70" s="60"/>
      <c r="AK70" s="67" t="s">
        <v>450</v>
      </c>
      <c r="AN70" s="60"/>
      <c r="AO70" s="60"/>
      <c r="AP70" s="60"/>
      <c r="AQ70" s="60"/>
      <c r="AR70" s="72"/>
      <c r="AS70" s="60"/>
      <c r="AT70" s="7"/>
      <c r="AU70" s="7"/>
      <c r="AV70" s="92"/>
      <c r="AW70" s="93"/>
      <c r="AX70" s="77"/>
      <c r="AY70" s="80"/>
      <c r="AZ70" s="94"/>
      <c r="BA70" s="94"/>
      <c r="BB70" s="80" t="s">
        <v>519</v>
      </c>
      <c r="BC70" s="95"/>
      <c r="BD70" s="92"/>
      <c r="BE70" s="92"/>
      <c r="BF70" s="92"/>
      <c r="BG70" s="92"/>
      <c r="BH70" s="92"/>
      <c r="BI70" s="92"/>
      <c r="BJ70" s="92"/>
      <c r="BK70" s="92"/>
      <c r="BL70" s="92"/>
      <c r="BM70" s="92"/>
      <c r="BN70" s="92"/>
      <c r="BO70" s="92"/>
      <c r="BP70" s="92"/>
      <c r="BQ70" s="92"/>
      <c r="BS70" s="6"/>
      <c r="BT70" s="11"/>
      <c r="BU70" s="6"/>
      <c r="BV70" s="6"/>
    </row>
    <row r="71" spans="1:74" ht="15.75" x14ac:dyDescent="0.25">
      <c r="A71" s="50" t="s">
        <v>449</v>
      </c>
      <c r="B71" s="52"/>
      <c r="C71" s="7" t="s">
        <v>118</v>
      </c>
      <c r="D71" s="7" t="s">
        <v>510</v>
      </c>
      <c r="E71" s="7"/>
      <c r="F71" s="55"/>
      <c r="G71" s="6"/>
      <c r="H71" s="6"/>
      <c r="I71" s="10" t="s">
        <v>110</v>
      </c>
      <c r="J71" s="11" t="s">
        <v>636</v>
      </c>
      <c r="K71" s="102" t="s">
        <v>512</v>
      </c>
      <c r="L71" s="98"/>
      <c r="M71" s="98">
        <v>1000</v>
      </c>
      <c r="N71" s="60" t="s">
        <v>513</v>
      </c>
      <c r="O71" s="88"/>
      <c r="P71" s="60" t="s">
        <v>637</v>
      </c>
      <c r="Q71" s="60"/>
      <c r="R71" s="60"/>
      <c r="S71" s="89"/>
      <c r="T71" s="106"/>
      <c r="U71" s="88"/>
      <c r="V71" s="91"/>
      <c r="W71" s="12" t="s">
        <v>515</v>
      </c>
      <c r="X71" s="103"/>
      <c r="Y71" s="6" t="s">
        <v>638</v>
      </c>
      <c r="Z71" s="64" t="s">
        <v>517</v>
      </c>
      <c r="AA71" s="12">
        <v>30</v>
      </c>
      <c r="AB71" s="6" t="s">
        <v>148</v>
      </c>
      <c r="AC71" s="64">
        <v>3060</v>
      </c>
      <c r="AJ71" s="60"/>
      <c r="AK71" s="67" t="s">
        <v>518</v>
      </c>
      <c r="AN71" s="60"/>
      <c r="AO71" s="60"/>
      <c r="AP71" s="60"/>
      <c r="AQ71" s="60"/>
      <c r="AR71" s="72"/>
      <c r="AS71" s="60"/>
      <c r="AT71" s="7"/>
      <c r="AU71" s="7"/>
      <c r="AV71" s="92"/>
      <c r="AW71" s="93"/>
      <c r="AX71" s="77"/>
      <c r="AY71" s="80"/>
      <c r="AZ71" s="94"/>
      <c r="BA71" s="94"/>
      <c r="BB71" s="80" t="s">
        <v>519</v>
      </c>
      <c r="BC71" s="95"/>
      <c r="BD71" s="92"/>
      <c r="BE71" s="92"/>
      <c r="BF71" s="92"/>
      <c r="BG71" s="92"/>
      <c r="BH71" s="92"/>
      <c r="BI71" s="92"/>
      <c r="BJ71" s="92"/>
      <c r="BK71" s="92"/>
      <c r="BL71" s="92"/>
      <c r="BM71" s="92"/>
      <c r="BN71" s="92"/>
      <c r="BO71" s="92"/>
      <c r="BP71" s="92"/>
      <c r="BQ71" s="92"/>
      <c r="BS71" s="6"/>
      <c r="BT71" s="11"/>
      <c r="BU71" s="6"/>
      <c r="BV71" s="6"/>
    </row>
    <row r="72" spans="1:74" ht="15.75" x14ac:dyDescent="0.25">
      <c r="A72" s="50" t="s">
        <v>449</v>
      </c>
      <c r="B72" s="52"/>
      <c r="C72" s="7" t="s">
        <v>118</v>
      </c>
      <c r="D72" s="7" t="s">
        <v>510</v>
      </c>
      <c r="E72" s="7"/>
      <c r="F72" s="55"/>
      <c r="G72" s="6"/>
      <c r="H72" s="6"/>
      <c r="I72" s="10" t="s">
        <v>110</v>
      </c>
      <c r="J72" s="11" t="s">
        <v>639</v>
      </c>
      <c r="K72" s="102" t="s">
        <v>512</v>
      </c>
      <c r="L72" s="98"/>
      <c r="M72" s="98">
        <v>1000</v>
      </c>
      <c r="N72" s="60" t="s">
        <v>513</v>
      </c>
      <c r="O72" s="88"/>
      <c r="P72" s="60" t="s">
        <v>640</v>
      </c>
      <c r="Q72" s="60"/>
      <c r="R72" s="60"/>
      <c r="S72" s="89"/>
      <c r="T72" s="106"/>
      <c r="U72" s="88"/>
      <c r="V72" s="91"/>
      <c r="W72" s="12" t="s">
        <v>515</v>
      </c>
      <c r="X72" s="103"/>
      <c r="Y72" s="6" t="s">
        <v>638</v>
      </c>
      <c r="Z72" s="64" t="s">
        <v>522</v>
      </c>
      <c r="AA72" s="12">
        <v>30</v>
      </c>
      <c r="AB72" s="6" t="s">
        <v>148</v>
      </c>
      <c r="AC72" s="64">
        <v>3084</v>
      </c>
      <c r="AJ72" s="60"/>
      <c r="AK72" s="67" t="s">
        <v>450</v>
      </c>
      <c r="AN72" s="60"/>
      <c r="AO72" s="60"/>
      <c r="AP72" s="60"/>
      <c r="AQ72" s="60"/>
      <c r="AR72" s="72"/>
      <c r="AS72" s="60"/>
      <c r="AT72" s="7"/>
      <c r="AU72" s="7"/>
      <c r="AV72" s="92"/>
      <c r="AW72" s="93"/>
      <c r="AX72" s="77"/>
      <c r="AY72" s="80"/>
      <c r="AZ72" s="94"/>
      <c r="BA72" s="94"/>
      <c r="BB72" s="80" t="s">
        <v>519</v>
      </c>
      <c r="BC72" s="95"/>
      <c r="BD72" s="92"/>
      <c r="BE72" s="92"/>
      <c r="BF72" s="92"/>
      <c r="BG72" s="92"/>
      <c r="BH72" s="92"/>
      <c r="BI72" s="92"/>
      <c r="BJ72" s="92"/>
      <c r="BK72" s="92"/>
      <c r="BL72" s="92"/>
      <c r="BM72" s="92"/>
      <c r="BN72" s="92"/>
      <c r="BO72" s="92"/>
      <c r="BP72" s="92"/>
      <c r="BQ72" s="92"/>
      <c r="BS72" s="6"/>
      <c r="BT72" s="11"/>
      <c r="BU72" s="6"/>
      <c r="BV72" s="6"/>
    </row>
    <row r="73" spans="1:74" ht="15.75" x14ac:dyDescent="0.25">
      <c r="A73" s="50" t="s">
        <v>449</v>
      </c>
      <c r="B73" s="52"/>
      <c r="C73" s="7" t="s">
        <v>118</v>
      </c>
      <c r="D73" s="7" t="s">
        <v>510</v>
      </c>
      <c r="E73" s="7"/>
      <c r="F73" s="55"/>
      <c r="G73" s="6"/>
      <c r="H73" s="6"/>
      <c r="I73" s="10" t="s">
        <v>110</v>
      </c>
      <c r="J73" s="11" t="s">
        <v>641</v>
      </c>
      <c r="K73" s="102" t="s">
        <v>512</v>
      </c>
      <c r="L73" s="98"/>
      <c r="M73" s="98">
        <v>1000</v>
      </c>
      <c r="N73" s="60" t="s">
        <v>513</v>
      </c>
      <c r="O73" s="88"/>
      <c r="P73" s="60" t="s">
        <v>642</v>
      </c>
      <c r="Q73" s="60"/>
      <c r="R73" s="60"/>
      <c r="S73" s="89"/>
      <c r="T73" s="106"/>
      <c r="U73" s="88"/>
      <c r="V73" s="91"/>
      <c r="W73" s="12" t="s">
        <v>515</v>
      </c>
      <c r="X73" s="103"/>
      <c r="Y73" s="6" t="s">
        <v>643</v>
      </c>
      <c r="Z73" s="64" t="s">
        <v>517</v>
      </c>
      <c r="AA73" s="12">
        <v>31</v>
      </c>
      <c r="AB73" s="6" t="s">
        <v>148</v>
      </c>
      <c r="AC73" s="64">
        <v>3060</v>
      </c>
      <c r="AJ73" s="60"/>
      <c r="AK73" s="67" t="s">
        <v>518</v>
      </c>
      <c r="AN73" s="60"/>
      <c r="AO73" s="60"/>
      <c r="AP73" s="60"/>
      <c r="AQ73" s="60"/>
      <c r="AR73" s="72"/>
      <c r="AS73" s="60"/>
      <c r="AT73" s="7"/>
      <c r="AU73" s="7"/>
      <c r="AV73" s="92"/>
      <c r="AW73" s="93"/>
      <c r="AX73" s="77"/>
      <c r="AY73" s="80"/>
      <c r="AZ73" s="94"/>
      <c r="BA73" s="94"/>
      <c r="BB73" s="80" t="s">
        <v>519</v>
      </c>
      <c r="BC73" s="95"/>
      <c r="BD73" s="92"/>
      <c r="BE73" s="92"/>
      <c r="BF73" s="92"/>
      <c r="BG73" s="92"/>
      <c r="BH73" s="92"/>
      <c r="BI73" s="92"/>
      <c r="BJ73" s="92"/>
      <c r="BK73" s="92"/>
      <c r="BL73" s="92"/>
      <c r="BM73" s="92"/>
      <c r="BN73" s="92"/>
      <c r="BO73" s="92"/>
      <c r="BP73" s="92"/>
      <c r="BQ73" s="92"/>
      <c r="BS73" s="6"/>
      <c r="BT73" s="11"/>
      <c r="BU73" s="6"/>
      <c r="BV73" s="6"/>
    </row>
    <row r="74" spans="1:74" ht="15.75" x14ac:dyDescent="0.25">
      <c r="A74" s="50" t="s">
        <v>449</v>
      </c>
      <c r="B74" s="52"/>
      <c r="C74" s="7" t="s">
        <v>118</v>
      </c>
      <c r="D74" s="7" t="s">
        <v>510</v>
      </c>
      <c r="E74" s="7"/>
      <c r="F74" s="55"/>
      <c r="G74" s="6"/>
      <c r="H74" s="6"/>
      <c r="I74" s="10" t="s">
        <v>110</v>
      </c>
      <c r="J74" s="11" t="s">
        <v>644</v>
      </c>
      <c r="K74" s="102" t="s">
        <v>512</v>
      </c>
      <c r="L74" s="98"/>
      <c r="M74" s="98">
        <v>1000</v>
      </c>
      <c r="N74" s="60" t="s">
        <v>513</v>
      </c>
      <c r="O74" s="88"/>
      <c r="P74" s="60" t="s">
        <v>645</v>
      </c>
      <c r="Q74" s="60"/>
      <c r="R74" s="60"/>
      <c r="S74" s="89"/>
      <c r="T74" s="106"/>
      <c r="U74" s="88"/>
      <c r="V74" s="91"/>
      <c r="W74" s="12" t="s">
        <v>515</v>
      </c>
      <c r="X74" s="103"/>
      <c r="Y74" s="6" t="s">
        <v>643</v>
      </c>
      <c r="Z74" s="64" t="s">
        <v>522</v>
      </c>
      <c r="AA74" s="12">
        <v>31</v>
      </c>
      <c r="AB74" s="6" t="s">
        <v>148</v>
      </c>
      <c r="AC74" s="64">
        <v>3084</v>
      </c>
      <c r="AJ74" s="60"/>
      <c r="AK74" s="67" t="s">
        <v>450</v>
      </c>
      <c r="AN74" s="60"/>
      <c r="AO74" s="60"/>
      <c r="AP74" s="60"/>
      <c r="AQ74" s="60"/>
      <c r="AR74" s="72"/>
      <c r="AS74" s="60"/>
      <c r="AT74" s="7"/>
      <c r="AU74" s="7"/>
      <c r="AV74" s="92"/>
      <c r="AW74" s="93"/>
      <c r="AX74" s="77"/>
      <c r="AY74" s="80"/>
      <c r="AZ74" s="94"/>
      <c r="BA74" s="94"/>
      <c r="BB74" s="80" t="s">
        <v>519</v>
      </c>
      <c r="BC74" s="95"/>
      <c r="BD74" s="92"/>
      <c r="BE74" s="92"/>
      <c r="BF74" s="92"/>
      <c r="BG74" s="92"/>
      <c r="BH74" s="92"/>
      <c r="BI74" s="92"/>
      <c r="BJ74" s="92"/>
      <c r="BK74" s="92"/>
      <c r="BL74" s="92"/>
      <c r="BM74" s="92"/>
      <c r="BN74" s="92"/>
      <c r="BO74" s="92"/>
      <c r="BP74" s="92"/>
      <c r="BQ74" s="92"/>
      <c r="BS74" s="6"/>
      <c r="BT74" s="11"/>
      <c r="BU74" s="6"/>
      <c r="BV74" s="6"/>
    </row>
    <row r="75" spans="1:74" ht="15.75" x14ac:dyDescent="0.25">
      <c r="A75" s="50" t="s">
        <v>449</v>
      </c>
      <c r="B75" s="52"/>
      <c r="C75" s="7" t="s">
        <v>118</v>
      </c>
      <c r="D75" s="7" t="s">
        <v>510</v>
      </c>
      <c r="E75" s="7"/>
      <c r="F75" s="55"/>
      <c r="G75" s="6"/>
      <c r="H75" s="6"/>
      <c r="I75" s="10" t="s">
        <v>110</v>
      </c>
      <c r="J75" s="11" t="s">
        <v>649</v>
      </c>
      <c r="K75" s="102" t="s">
        <v>512</v>
      </c>
      <c r="L75" s="98"/>
      <c r="M75" s="98">
        <v>1000</v>
      </c>
      <c r="N75" s="60" t="s">
        <v>513</v>
      </c>
      <c r="O75" s="88"/>
      <c r="P75" s="60" t="s">
        <v>650</v>
      </c>
      <c r="Q75" s="60"/>
      <c r="R75" s="60"/>
      <c r="S75" s="89"/>
      <c r="T75" s="106"/>
      <c r="U75" s="88"/>
      <c r="V75" s="91"/>
      <c r="W75" s="12" t="s">
        <v>515</v>
      </c>
      <c r="X75" s="103"/>
      <c r="Y75" s="6" t="s">
        <v>651</v>
      </c>
      <c r="Z75" s="64" t="s">
        <v>517</v>
      </c>
      <c r="AA75" s="12">
        <v>33</v>
      </c>
      <c r="AB75" s="6" t="s">
        <v>148</v>
      </c>
      <c r="AC75" s="64">
        <v>3060</v>
      </c>
      <c r="AJ75" s="60"/>
      <c r="AK75" s="67" t="s">
        <v>518</v>
      </c>
      <c r="AN75" s="60"/>
      <c r="AO75" s="60"/>
      <c r="AP75" s="60"/>
      <c r="AQ75" s="60"/>
      <c r="AR75" s="72"/>
      <c r="AS75" s="60"/>
      <c r="AT75" s="7"/>
      <c r="AU75" s="7"/>
      <c r="AV75" s="92"/>
      <c r="AW75" s="93"/>
      <c r="AX75" s="77"/>
      <c r="AY75" s="80"/>
      <c r="AZ75" s="94"/>
      <c r="BA75" s="94"/>
      <c r="BB75" s="80" t="s">
        <v>519</v>
      </c>
      <c r="BC75" s="95"/>
      <c r="BD75" s="92"/>
      <c r="BE75" s="92"/>
      <c r="BF75" s="92"/>
      <c r="BG75" s="92"/>
      <c r="BH75" s="92"/>
      <c r="BI75" s="92"/>
      <c r="BJ75" s="92"/>
      <c r="BK75" s="92"/>
      <c r="BL75" s="92"/>
      <c r="BM75" s="92"/>
      <c r="BN75" s="92"/>
      <c r="BO75" s="92"/>
      <c r="BP75" s="92"/>
      <c r="BQ75" s="92"/>
      <c r="BS75" s="6"/>
      <c r="BT75" s="11"/>
      <c r="BU75" s="6"/>
      <c r="BV75" s="6"/>
    </row>
    <row r="76" spans="1:74" ht="15.75" x14ac:dyDescent="0.25">
      <c r="A76" s="50" t="s">
        <v>449</v>
      </c>
      <c r="B76" s="52"/>
      <c r="C76" s="7" t="s">
        <v>118</v>
      </c>
      <c r="D76" s="7" t="s">
        <v>510</v>
      </c>
      <c r="E76" s="7"/>
      <c r="F76" s="55"/>
      <c r="G76" s="6"/>
      <c r="H76" s="6"/>
      <c r="I76" s="10" t="s">
        <v>110</v>
      </c>
      <c r="J76" s="11" t="s">
        <v>652</v>
      </c>
      <c r="K76" s="102" t="s">
        <v>512</v>
      </c>
      <c r="L76" s="98"/>
      <c r="M76" s="98">
        <v>1000</v>
      </c>
      <c r="N76" s="60" t="s">
        <v>513</v>
      </c>
      <c r="O76" s="88"/>
      <c r="P76" s="60" t="s">
        <v>653</v>
      </c>
      <c r="Q76" s="60"/>
      <c r="R76" s="60"/>
      <c r="S76" s="89"/>
      <c r="T76" s="106"/>
      <c r="U76" s="88"/>
      <c r="V76" s="91"/>
      <c r="W76" s="12" t="s">
        <v>515</v>
      </c>
      <c r="X76" s="103"/>
      <c r="Y76" s="6" t="s">
        <v>651</v>
      </c>
      <c r="Z76" s="64" t="s">
        <v>522</v>
      </c>
      <c r="AA76" s="12">
        <v>33</v>
      </c>
      <c r="AB76" s="6" t="s">
        <v>148</v>
      </c>
      <c r="AC76" s="64">
        <v>3084</v>
      </c>
      <c r="AJ76" s="60"/>
      <c r="AK76" s="67" t="s">
        <v>450</v>
      </c>
      <c r="AN76" s="60"/>
      <c r="AO76" s="60"/>
      <c r="AP76" s="60"/>
      <c r="AQ76" s="60"/>
      <c r="AR76" s="72"/>
      <c r="AS76" s="60"/>
      <c r="AT76" s="7"/>
      <c r="AU76" s="7"/>
      <c r="AV76" s="92"/>
      <c r="AW76" s="93"/>
      <c r="AX76" s="77"/>
      <c r="AY76" s="80"/>
      <c r="AZ76" s="94"/>
      <c r="BA76" s="94"/>
      <c r="BB76" s="80" t="s">
        <v>519</v>
      </c>
      <c r="BC76" s="95"/>
      <c r="BD76" s="92"/>
      <c r="BE76" s="92"/>
      <c r="BF76" s="92"/>
      <c r="BG76" s="92"/>
      <c r="BH76" s="92"/>
      <c r="BI76" s="92"/>
      <c r="BJ76" s="92"/>
      <c r="BK76" s="92"/>
      <c r="BL76" s="92"/>
      <c r="BM76" s="92"/>
      <c r="BN76" s="92"/>
      <c r="BO76" s="92"/>
      <c r="BP76" s="92"/>
      <c r="BQ76" s="92"/>
      <c r="BS76" s="6"/>
      <c r="BT76" s="11"/>
      <c r="BU76" s="6"/>
      <c r="BV76" s="6"/>
    </row>
    <row r="77" spans="1:74" ht="15.75" x14ac:dyDescent="0.25">
      <c r="A77" s="50" t="s">
        <v>449</v>
      </c>
      <c r="B77" s="52"/>
      <c r="C77" s="7" t="s">
        <v>118</v>
      </c>
      <c r="D77" s="7" t="s">
        <v>510</v>
      </c>
      <c r="E77" s="7"/>
      <c r="F77" s="55"/>
      <c r="G77" s="6"/>
      <c r="H77" s="6"/>
      <c r="I77" s="10" t="s">
        <v>110</v>
      </c>
      <c r="J77" s="11" t="s">
        <v>654</v>
      </c>
      <c r="K77" s="102" t="s">
        <v>512</v>
      </c>
      <c r="L77" s="98"/>
      <c r="M77" s="98">
        <v>1000</v>
      </c>
      <c r="N77" s="60" t="s">
        <v>513</v>
      </c>
      <c r="O77" s="88"/>
      <c r="P77" s="60" t="s">
        <v>655</v>
      </c>
      <c r="Q77" s="60"/>
      <c r="R77" s="60"/>
      <c r="S77" s="89"/>
      <c r="T77" s="106"/>
      <c r="U77" s="88"/>
      <c r="V77" s="91"/>
      <c r="W77" s="12" t="s">
        <v>515</v>
      </c>
      <c r="X77" s="103"/>
      <c r="Y77" s="6" t="s">
        <v>656</v>
      </c>
      <c r="Z77" s="64" t="s">
        <v>517</v>
      </c>
      <c r="AA77" s="12">
        <v>34</v>
      </c>
      <c r="AB77" s="6" t="s">
        <v>148</v>
      </c>
      <c r="AC77" s="64">
        <v>3060</v>
      </c>
      <c r="AJ77" s="60"/>
      <c r="AK77" s="67" t="s">
        <v>518</v>
      </c>
      <c r="AN77" s="60"/>
      <c r="AO77" s="60"/>
      <c r="AP77" s="60"/>
      <c r="AQ77" s="60"/>
      <c r="AR77" s="72"/>
      <c r="AS77" s="60"/>
      <c r="AT77" s="7"/>
      <c r="AU77" s="7"/>
      <c r="AV77" s="92"/>
      <c r="AW77" s="93"/>
      <c r="AX77" s="77"/>
      <c r="AY77" s="80"/>
      <c r="AZ77" s="94"/>
      <c r="BA77" s="94"/>
      <c r="BB77" s="80" t="s">
        <v>519</v>
      </c>
      <c r="BC77" s="95"/>
      <c r="BD77" s="92"/>
      <c r="BE77" s="92"/>
      <c r="BF77" s="92"/>
      <c r="BG77" s="92"/>
      <c r="BH77" s="92"/>
      <c r="BI77" s="92"/>
      <c r="BJ77" s="92"/>
      <c r="BK77" s="92"/>
      <c r="BL77" s="92"/>
      <c r="BM77" s="92"/>
      <c r="BN77" s="92"/>
      <c r="BO77" s="92"/>
      <c r="BP77" s="92"/>
      <c r="BQ77" s="92"/>
      <c r="BS77" s="6"/>
      <c r="BT77" s="11"/>
      <c r="BU77" s="6"/>
      <c r="BV77" s="6"/>
    </row>
    <row r="78" spans="1:74" ht="15.75" x14ac:dyDescent="0.25">
      <c r="A78" s="50" t="s">
        <v>449</v>
      </c>
      <c r="B78" s="52"/>
      <c r="C78" s="7" t="s">
        <v>118</v>
      </c>
      <c r="D78" s="7" t="s">
        <v>510</v>
      </c>
      <c r="E78" s="7"/>
      <c r="F78" s="55"/>
      <c r="G78" s="6"/>
      <c r="H78" s="6"/>
      <c r="I78" s="10" t="s">
        <v>110</v>
      </c>
      <c r="J78" s="11" t="s">
        <v>657</v>
      </c>
      <c r="K78" s="102" t="s">
        <v>512</v>
      </c>
      <c r="L78" s="98"/>
      <c r="M78" s="98">
        <v>1000</v>
      </c>
      <c r="N78" s="60" t="s">
        <v>513</v>
      </c>
      <c r="O78" s="88"/>
      <c r="P78" s="60" t="s">
        <v>658</v>
      </c>
      <c r="Q78" s="60"/>
      <c r="R78" s="60"/>
      <c r="S78" s="89"/>
      <c r="T78" s="106"/>
      <c r="U78" s="88"/>
      <c r="V78" s="91"/>
      <c r="W78" s="12" t="s">
        <v>515</v>
      </c>
      <c r="X78" s="103"/>
      <c r="Y78" s="6" t="s">
        <v>656</v>
      </c>
      <c r="Z78" s="64" t="s">
        <v>522</v>
      </c>
      <c r="AA78" s="12">
        <v>34</v>
      </c>
      <c r="AB78" s="6" t="s">
        <v>148</v>
      </c>
      <c r="AC78" s="64">
        <v>3084</v>
      </c>
      <c r="AJ78" s="60"/>
      <c r="AK78" s="67" t="s">
        <v>450</v>
      </c>
      <c r="AN78" s="60"/>
      <c r="AO78" s="60"/>
      <c r="AP78" s="60"/>
      <c r="AQ78" s="60"/>
      <c r="AR78" s="72"/>
      <c r="AS78" s="60"/>
      <c r="AT78" s="7"/>
      <c r="AU78" s="7"/>
      <c r="AV78" s="92"/>
      <c r="AW78" s="93"/>
      <c r="AX78" s="77"/>
      <c r="AY78" s="80"/>
      <c r="AZ78" s="94"/>
      <c r="BA78" s="94"/>
      <c r="BB78" s="80" t="s">
        <v>519</v>
      </c>
      <c r="BC78" s="95"/>
      <c r="BD78" s="92"/>
      <c r="BE78" s="92"/>
      <c r="BF78" s="92"/>
      <c r="BG78" s="92"/>
      <c r="BH78" s="92"/>
      <c r="BI78" s="92"/>
      <c r="BJ78" s="92"/>
      <c r="BK78" s="92"/>
      <c r="BL78" s="92"/>
      <c r="BM78" s="92"/>
      <c r="BN78" s="92"/>
      <c r="BO78" s="92"/>
      <c r="BP78" s="92"/>
      <c r="BQ78" s="92"/>
      <c r="BS78" s="6"/>
      <c r="BT78" s="11"/>
      <c r="BU78" s="6"/>
      <c r="BV78" s="6"/>
    </row>
    <row r="79" spans="1:74" ht="15.75" x14ac:dyDescent="0.25">
      <c r="A79" s="50" t="s">
        <v>449</v>
      </c>
      <c r="B79" s="52"/>
      <c r="C79" s="7" t="s">
        <v>118</v>
      </c>
      <c r="D79" s="7" t="s">
        <v>510</v>
      </c>
      <c r="E79" s="7"/>
      <c r="F79" s="55"/>
      <c r="G79" s="6"/>
      <c r="H79" s="6"/>
      <c r="I79" s="10" t="s">
        <v>110</v>
      </c>
      <c r="J79" s="11" t="s">
        <v>659</v>
      </c>
      <c r="K79" s="102" t="s">
        <v>512</v>
      </c>
      <c r="L79" s="98"/>
      <c r="M79" s="98">
        <v>1000</v>
      </c>
      <c r="N79" s="60" t="s">
        <v>513</v>
      </c>
      <c r="O79" s="88"/>
      <c r="P79" s="60" t="s">
        <v>660</v>
      </c>
      <c r="Q79" s="60"/>
      <c r="R79" s="60"/>
      <c r="S79" s="89"/>
      <c r="T79" s="106"/>
      <c r="U79" s="88"/>
      <c r="V79" s="91"/>
      <c r="W79" s="12" t="s">
        <v>515</v>
      </c>
      <c r="X79" s="103"/>
      <c r="Y79" s="6" t="s">
        <v>661</v>
      </c>
      <c r="Z79" s="64" t="s">
        <v>517</v>
      </c>
      <c r="AA79" s="12">
        <v>35</v>
      </c>
      <c r="AB79" s="6" t="s">
        <v>148</v>
      </c>
      <c r="AC79" s="64">
        <v>3060</v>
      </c>
      <c r="AJ79" s="60"/>
      <c r="AK79" s="67" t="s">
        <v>518</v>
      </c>
      <c r="AN79" s="60"/>
      <c r="AO79" s="60"/>
      <c r="AP79" s="60"/>
      <c r="AQ79" s="60"/>
      <c r="AR79" s="72"/>
      <c r="AS79" s="60"/>
      <c r="AT79" s="7"/>
      <c r="AU79" s="7"/>
      <c r="AV79" s="92"/>
      <c r="AW79" s="93"/>
      <c r="AX79" s="77"/>
      <c r="AY79" s="80"/>
      <c r="AZ79" s="94"/>
      <c r="BA79" s="94"/>
      <c r="BB79" s="80" t="s">
        <v>519</v>
      </c>
      <c r="BC79" s="95"/>
      <c r="BD79" s="92"/>
      <c r="BE79" s="92"/>
      <c r="BF79" s="92"/>
      <c r="BG79" s="92"/>
      <c r="BH79" s="92"/>
      <c r="BI79" s="92"/>
      <c r="BJ79" s="92"/>
      <c r="BK79" s="92"/>
      <c r="BL79" s="92"/>
      <c r="BM79" s="92"/>
      <c r="BN79" s="92"/>
      <c r="BO79" s="92"/>
      <c r="BP79" s="92"/>
      <c r="BQ79" s="92"/>
      <c r="BS79" s="6"/>
      <c r="BT79" s="11"/>
      <c r="BU79" s="6"/>
      <c r="BV79" s="6"/>
    </row>
    <row r="80" spans="1:74" ht="15.75" x14ac:dyDescent="0.25">
      <c r="A80" s="50" t="s">
        <v>449</v>
      </c>
      <c r="B80" s="52"/>
      <c r="C80" s="7" t="s">
        <v>118</v>
      </c>
      <c r="D80" s="7" t="s">
        <v>510</v>
      </c>
      <c r="E80" s="7"/>
      <c r="F80" s="55"/>
      <c r="G80" s="6"/>
      <c r="H80" s="6"/>
      <c r="I80" s="10" t="s">
        <v>110</v>
      </c>
      <c r="J80" s="11" t="s">
        <v>662</v>
      </c>
      <c r="K80" s="102" t="s">
        <v>512</v>
      </c>
      <c r="L80" s="98"/>
      <c r="M80" s="98">
        <v>1000</v>
      </c>
      <c r="N80" s="60" t="s">
        <v>513</v>
      </c>
      <c r="O80" s="88"/>
      <c r="P80" s="60" t="s">
        <v>663</v>
      </c>
      <c r="Q80" s="60"/>
      <c r="R80" s="60"/>
      <c r="S80" s="89"/>
      <c r="T80" s="106"/>
      <c r="U80" s="88"/>
      <c r="V80" s="91"/>
      <c r="W80" s="12" t="s">
        <v>515</v>
      </c>
      <c r="X80" s="103"/>
      <c r="Y80" s="6" t="s">
        <v>661</v>
      </c>
      <c r="Z80" s="64" t="s">
        <v>522</v>
      </c>
      <c r="AA80" s="12">
        <v>35</v>
      </c>
      <c r="AB80" s="6" t="s">
        <v>148</v>
      </c>
      <c r="AC80" s="64">
        <v>3084</v>
      </c>
      <c r="AJ80" s="60"/>
      <c r="AK80" s="67" t="s">
        <v>450</v>
      </c>
      <c r="AN80" s="60"/>
      <c r="AO80" s="60"/>
      <c r="AP80" s="60"/>
      <c r="AQ80" s="60"/>
      <c r="AR80" s="72"/>
      <c r="AS80" s="60"/>
      <c r="AT80" s="7"/>
      <c r="AU80" s="7"/>
      <c r="AV80" s="92"/>
      <c r="AW80" s="93"/>
      <c r="AX80" s="77"/>
      <c r="AY80" s="80"/>
      <c r="AZ80" s="94"/>
      <c r="BA80" s="94"/>
      <c r="BB80" s="80" t="s">
        <v>519</v>
      </c>
      <c r="BC80" s="95"/>
      <c r="BD80" s="92"/>
      <c r="BE80" s="92"/>
      <c r="BF80" s="92"/>
      <c r="BG80" s="92"/>
      <c r="BH80" s="92"/>
      <c r="BI80" s="92"/>
      <c r="BJ80" s="92"/>
      <c r="BK80" s="92"/>
      <c r="BL80" s="92"/>
      <c r="BM80" s="92"/>
      <c r="BN80" s="92"/>
      <c r="BO80" s="92"/>
      <c r="BP80" s="92"/>
      <c r="BQ80" s="92"/>
      <c r="BS80" s="6"/>
      <c r="BT80" s="11"/>
      <c r="BU80" s="6"/>
      <c r="BV80" s="6"/>
    </row>
    <row r="81" spans="1:74" ht="15.75" x14ac:dyDescent="0.25">
      <c r="A81" s="50" t="s">
        <v>449</v>
      </c>
      <c r="B81" s="52"/>
      <c r="C81" s="7" t="s">
        <v>118</v>
      </c>
      <c r="D81" s="7" t="s">
        <v>510</v>
      </c>
      <c r="E81" s="7"/>
      <c r="F81" s="55"/>
      <c r="G81" s="6"/>
      <c r="H81" s="6"/>
      <c r="I81" s="10" t="s">
        <v>110</v>
      </c>
      <c r="J81" s="11" t="s">
        <v>664</v>
      </c>
      <c r="K81" s="102" t="s">
        <v>512</v>
      </c>
      <c r="L81" s="98"/>
      <c r="M81" s="98">
        <v>1000</v>
      </c>
      <c r="N81" s="60" t="s">
        <v>513</v>
      </c>
      <c r="O81" s="88"/>
      <c r="P81" s="60" t="s">
        <v>665</v>
      </c>
      <c r="Q81" s="60"/>
      <c r="R81" s="60"/>
      <c r="S81" s="89"/>
      <c r="T81" s="106"/>
      <c r="U81" s="88"/>
      <c r="V81" s="91"/>
      <c r="W81" s="12" t="s">
        <v>515</v>
      </c>
      <c r="X81" s="103"/>
      <c r="Y81" s="6" t="s">
        <v>666</v>
      </c>
      <c r="Z81" s="64" t="s">
        <v>517</v>
      </c>
      <c r="AA81" s="12">
        <v>36</v>
      </c>
      <c r="AB81" s="6" t="s">
        <v>148</v>
      </c>
      <c r="AC81" s="64">
        <v>3060</v>
      </c>
      <c r="AJ81" s="60"/>
      <c r="AK81" s="67" t="s">
        <v>518</v>
      </c>
      <c r="AN81" s="60"/>
      <c r="AO81" s="60"/>
      <c r="AP81" s="60"/>
      <c r="AQ81" s="60"/>
      <c r="AR81" s="72"/>
      <c r="AS81" s="60"/>
      <c r="AT81" s="7"/>
      <c r="AU81" s="7"/>
      <c r="AV81" s="92"/>
      <c r="AW81" s="93"/>
      <c r="AX81" s="77"/>
      <c r="AY81" s="80"/>
      <c r="AZ81" s="94"/>
      <c r="BA81" s="94"/>
      <c r="BB81" s="80" t="s">
        <v>519</v>
      </c>
      <c r="BC81" s="95"/>
      <c r="BD81" s="92"/>
      <c r="BE81" s="92"/>
      <c r="BF81" s="92"/>
      <c r="BG81" s="92"/>
      <c r="BH81" s="92"/>
      <c r="BI81" s="92"/>
      <c r="BJ81" s="92"/>
      <c r="BK81" s="92"/>
      <c r="BL81" s="92"/>
      <c r="BM81" s="92"/>
      <c r="BN81" s="92"/>
      <c r="BO81" s="92"/>
      <c r="BP81" s="92"/>
      <c r="BQ81" s="92"/>
      <c r="BS81" s="6"/>
      <c r="BT81" s="11"/>
      <c r="BU81" s="6"/>
      <c r="BV81" s="6"/>
    </row>
    <row r="82" spans="1:74" ht="15.75" x14ac:dyDescent="0.25">
      <c r="A82" s="50" t="s">
        <v>449</v>
      </c>
      <c r="B82" s="52"/>
      <c r="C82" s="7" t="s">
        <v>118</v>
      </c>
      <c r="D82" s="7" t="s">
        <v>510</v>
      </c>
      <c r="E82" s="7"/>
      <c r="F82" s="55"/>
      <c r="G82" s="6"/>
      <c r="H82" s="6"/>
      <c r="I82" s="10" t="s">
        <v>110</v>
      </c>
      <c r="J82" s="11" t="s">
        <v>667</v>
      </c>
      <c r="K82" s="102" t="s">
        <v>512</v>
      </c>
      <c r="L82" s="98"/>
      <c r="M82" s="98">
        <v>1000</v>
      </c>
      <c r="N82" s="60" t="s">
        <v>513</v>
      </c>
      <c r="O82" s="88"/>
      <c r="P82" s="60" t="s">
        <v>668</v>
      </c>
      <c r="Q82" s="60"/>
      <c r="R82" s="60"/>
      <c r="S82" s="89"/>
      <c r="T82" s="106"/>
      <c r="U82" s="88"/>
      <c r="V82" s="91"/>
      <c r="W82" s="12" t="s">
        <v>515</v>
      </c>
      <c r="X82" s="103"/>
      <c r="Y82" s="6" t="s">
        <v>666</v>
      </c>
      <c r="Z82" s="64" t="s">
        <v>522</v>
      </c>
      <c r="AA82" s="12">
        <v>36</v>
      </c>
      <c r="AB82" s="6" t="s">
        <v>148</v>
      </c>
      <c r="AC82" s="64">
        <v>3084</v>
      </c>
      <c r="AJ82" s="60"/>
      <c r="AK82" s="67" t="s">
        <v>450</v>
      </c>
      <c r="AN82" s="60"/>
      <c r="AO82" s="60"/>
      <c r="AP82" s="60"/>
      <c r="AQ82" s="60"/>
      <c r="AR82" s="72"/>
      <c r="AS82" s="60"/>
      <c r="AT82" s="7"/>
      <c r="AU82" s="7"/>
      <c r="AV82" s="92"/>
      <c r="AW82" s="93"/>
      <c r="AX82" s="77"/>
      <c r="AY82" s="80"/>
      <c r="AZ82" s="94"/>
      <c r="BA82" s="94"/>
      <c r="BB82" s="80" t="s">
        <v>519</v>
      </c>
      <c r="BC82" s="95"/>
      <c r="BD82" s="92"/>
      <c r="BE82" s="92"/>
      <c r="BF82" s="92"/>
      <c r="BG82" s="92"/>
      <c r="BH82" s="92"/>
      <c r="BI82" s="92"/>
      <c r="BJ82" s="92"/>
      <c r="BK82" s="92"/>
      <c r="BL82" s="92"/>
      <c r="BM82" s="92"/>
      <c r="BN82" s="92"/>
      <c r="BO82" s="92"/>
      <c r="BP82" s="92"/>
      <c r="BQ82" s="92"/>
      <c r="BS82" s="6"/>
      <c r="BT82" s="11"/>
      <c r="BU82" s="6"/>
      <c r="BV82" s="6"/>
    </row>
    <row r="83" spans="1:74" ht="15.75" x14ac:dyDescent="0.25">
      <c r="A83" s="50" t="s">
        <v>449</v>
      </c>
      <c r="B83" s="52"/>
      <c r="C83" s="7" t="s">
        <v>118</v>
      </c>
      <c r="D83" s="7" t="s">
        <v>510</v>
      </c>
      <c r="E83" s="7"/>
      <c r="F83" s="55"/>
      <c r="G83" s="6"/>
      <c r="H83" s="6"/>
      <c r="I83" s="10" t="s">
        <v>110</v>
      </c>
      <c r="J83" s="11" t="s">
        <v>669</v>
      </c>
      <c r="K83" s="102" t="s">
        <v>512</v>
      </c>
      <c r="L83" s="98"/>
      <c r="M83" s="98">
        <v>1000</v>
      </c>
      <c r="N83" s="60" t="s">
        <v>513</v>
      </c>
      <c r="O83" s="88"/>
      <c r="P83" s="60" t="s">
        <v>670</v>
      </c>
      <c r="Q83" s="60"/>
      <c r="R83" s="60"/>
      <c r="S83" s="89"/>
      <c r="T83" s="106"/>
      <c r="U83" s="88"/>
      <c r="V83" s="91"/>
      <c r="W83" s="12" t="s">
        <v>515</v>
      </c>
      <c r="X83" s="103"/>
      <c r="Y83" s="6" t="s">
        <v>671</v>
      </c>
      <c r="Z83" s="64" t="s">
        <v>517</v>
      </c>
      <c r="AA83" s="12">
        <v>37</v>
      </c>
      <c r="AB83" s="6" t="s">
        <v>148</v>
      </c>
      <c r="AC83" s="64">
        <v>3060</v>
      </c>
      <c r="AJ83" s="60"/>
      <c r="AK83" s="67" t="s">
        <v>518</v>
      </c>
      <c r="AN83" s="60"/>
      <c r="AO83" s="60"/>
      <c r="AP83" s="60"/>
      <c r="AQ83" s="60"/>
      <c r="AR83" s="72"/>
      <c r="AS83" s="60"/>
      <c r="AT83" s="7"/>
      <c r="AU83" s="7"/>
      <c r="AV83" s="92"/>
      <c r="AW83" s="93"/>
      <c r="AX83" s="77"/>
      <c r="AY83" s="80"/>
      <c r="AZ83" s="94"/>
      <c r="BA83" s="94"/>
      <c r="BB83" s="80" t="s">
        <v>519</v>
      </c>
      <c r="BC83" s="95"/>
      <c r="BD83" s="92"/>
      <c r="BE83" s="92"/>
      <c r="BF83" s="92"/>
      <c r="BG83" s="92"/>
      <c r="BH83" s="92"/>
      <c r="BI83" s="92"/>
      <c r="BJ83" s="92"/>
      <c r="BK83" s="92"/>
      <c r="BL83" s="92"/>
      <c r="BM83" s="92"/>
      <c r="BN83" s="92"/>
      <c r="BO83" s="92"/>
      <c r="BP83" s="92"/>
      <c r="BQ83" s="92"/>
      <c r="BS83" s="6"/>
      <c r="BT83" s="11"/>
      <c r="BU83" s="6"/>
      <c r="BV83" s="6"/>
    </row>
    <row r="84" spans="1:74" ht="15.75" x14ac:dyDescent="0.25">
      <c r="A84" s="50" t="s">
        <v>449</v>
      </c>
      <c r="B84" s="52"/>
      <c r="C84" s="7" t="s">
        <v>118</v>
      </c>
      <c r="D84" s="7" t="s">
        <v>510</v>
      </c>
      <c r="E84" s="7"/>
      <c r="F84" s="55"/>
      <c r="G84" s="6"/>
      <c r="H84" s="6"/>
      <c r="I84" s="10" t="s">
        <v>110</v>
      </c>
      <c r="J84" s="11" t="s">
        <v>672</v>
      </c>
      <c r="K84" s="102" t="s">
        <v>512</v>
      </c>
      <c r="L84" s="98"/>
      <c r="M84" s="98">
        <v>1000</v>
      </c>
      <c r="N84" s="60" t="s">
        <v>513</v>
      </c>
      <c r="O84" s="88"/>
      <c r="P84" s="60" t="s">
        <v>673</v>
      </c>
      <c r="Q84" s="60"/>
      <c r="R84" s="60"/>
      <c r="S84" s="89"/>
      <c r="T84" s="106"/>
      <c r="U84" s="88"/>
      <c r="V84" s="91"/>
      <c r="W84" s="12" t="s">
        <v>515</v>
      </c>
      <c r="X84" s="103"/>
      <c r="Y84" s="6" t="s">
        <v>671</v>
      </c>
      <c r="Z84" s="64" t="s">
        <v>522</v>
      </c>
      <c r="AA84" s="12">
        <v>37</v>
      </c>
      <c r="AB84" s="6" t="s">
        <v>148</v>
      </c>
      <c r="AC84" s="64">
        <v>3084</v>
      </c>
      <c r="AJ84" s="60"/>
      <c r="AK84" s="67" t="s">
        <v>450</v>
      </c>
      <c r="AN84" s="60"/>
      <c r="AO84" s="60"/>
      <c r="AP84" s="60"/>
      <c r="AQ84" s="60"/>
      <c r="AR84" s="72"/>
      <c r="AS84" s="60"/>
      <c r="AT84" s="7"/>
      <c r="AU84" s="7"/>
      <c r="AV84" s="92"/>
      <c r="AW84" s="93"/>
      <c r="AX84" s="77"/>
      <c r="AY84" s="80"/>
      <c r="AZ84" s="94"/>
      <c r="BA84" s="94"/>
      <c r="BB84" s="80" t="s">
        <v>519</v>
      </c>
      <c r="BC84" s="95"/>
      <c r="BD84" s="92"/>
      <c r="BE84" s="92"/>
      <c r="BF84" s="92"/>
      <c r="BG84" s="92"/>
      <c r="BH84" s="92"/>
      <c r="BI84" s="92"/>
      <c r="BJ84" s="92"/>
      <c r="BK84" s="92"/>
      <c r="BL84" s="92"/>
      <c r="BM84" s="92"/>
      <c r="BN84" s="92"/>
      <c r="BO84" s="92"/>
      <c r="BP84" s="92"/>
      <c r="BQ84" s="92"/>
      <c r="BS84" s="6"/>
      <c r="BT84" s="11"/>
      <c r="BU84" s="6"/>
      <c r="BV84" s="6"/>
    </row>
    <row r="85" spans="1:74" ht="15.75" x14ac:dyDescent="0.25">
      <c r="A85" s="50" t="s">
        <v>449</v>
      </c>
      <c r="B85" s="52"/>
      <c r="C85" s="7" t="s">
        <v>118</v>
      </c>
      <c r="D85" s="7" t="s">
        <v>510</v>
      </c>
      <c r="E85" s="7"/>
      <c r="F85" s="55"/>
      <c r="G85" s="6"/>
      <c r="H85" s="6"/>
      <c r="I85" s="10" t="s">
        <v>110</v>
      </c>
      <c r="J85" s="11" t="s">
        <v>674</v>
      </c>
      <c r="K85" s="102" t="s">
        <v>512</v>
      </c>
      <c r="L85" s="98"/>
      <c r="M85" s="98">
        <v>1000</v>
      </c>
      <c r="N85" s="60" t="s">
        <v>513</v>
      </c>
      <c r="O85" s="88"/>
      <c r="P85" s="60" t="s">
        <v>675</v>
      </c>
      <c r="Q85" s="60"/>
      <c r="R85" s="60"/>
      <c r="S85" s="89"/>
      <c r="T85" s="106"/>
      <c r="U85" s="88"/>
      <c r="V85" s="91"/>
      <c r="W85" s="12" t="s">
        <v>515</v>
      </c>
      <c r="X85" s="103"/>
      <c r="Y85" s="6" t="s">
        <v>676</v>
      </c>
      <c r="Z85" s="64" t="s">
        <v>517</v>
      </c>
      <c r="AA85" s="12">
        <v>38</v>
      </c>
      <c r="AB85" s="6" t="s">
        <v>148</v>
      </c>
      <c r="AC85" s="64">
        <v>3060</v>
      </c>
      <c r="AJ85" s="60"/>
      <c r="AK85" s="67" t="s">
        <v>518</v>
      </c>
      <c r="AN85" s="60"/>
      <c r="AO85" s="60"/>
      <c r="AP85" s="60"/>
      <c r="AQ85" s="60"/>
      <c r="AR85" s="72"/>
      <c r="AS85" s="60"/>
      <c r="AT85" s="7"/>
      <c r="AU85" s="7"/>
      <c r="AV85" s="92"/>
      <c r="AW85" s="93"/>
      <c r="AX85" s="77"/>
      <c r="AY85" s="80"/>
      <c r="AZ85" s="94"/>
      <c r="BA85" s="94"/>
      <c r="BB85" s="80" t="s">
        <v>519</v>
      </c>
      <c r="BC85" s="95"/>
      <c r="BD85" s="92"/>
      <c r="BE85" s="92"/>
      <c r="BF85" s="92"/>
      <c r="BG85" s="92"/>
      <c r="BH85" s="92"/>
      <c r="BI85" s="92"/>
      <c r="BJ85" s="92"/>
      <c r="BK85" s="92"/>
      <c r="BL85" s="92"/>
      <c r="BM85" s="92"/>
      <c r="BN85" s="92"/>
      <c r="BO85" s="92"/>
      <c r="BP85" s="92"/>
      <c r="BQ85" s="92"/>
      <c r="BS85" s="6"/>
      <c r="BT85" s="11"/>
      <c r="BU85" s="6"/>
      <c r="BV85" s="6"/>
    </row>
    <row r="86" spans="1:74" ht="15.75" x14ac:dyDescent="0.25">
      <c r="A86" s="50" t="s">
        <v>449</v>
      </c>
      <c r="B86" s="52"/>
      <c r="C86" s="7" t="s">
        <v>118</v>
      </c>
      <c r="D86" s="7" t="s">
        <v>510</v>
      </c>
      <c r="E86" s="7"/>
      <c r="F86" s="55"/>
      <c r="G86" s="6"/>
      <c r="H86" s="6"/>
      <c r="I86" s="10" t="s">
        <v>110</v>
      </c>
      <c r="J86" s="11" t="s">
        <v>677</v>
      </c>
      <c r="K86" s="102" t="s">
        <v>512</v>
      </c>
      <c r="L86" s="98"/>
      <c r="M86" s="98">
        <v>1000</v>
      </c>
      <c r="N86" s="60" t="s">
        <v>513</v>
      </c>
      <c r="O86" s="88"/>
      <c r="P86" s="60" t="s">
        <v>678</v>
      </c>
      <c r="Q86" s="60"/>
      <c r="R86" s="60"/>
      <c r="S86" s="89"/>
      <c r="T86" s="106"/>
      <c r="U86" s="88"/>
      <c r="V86" s="91"/>
      <c r="W86" s="12" t="s">
        <v>515</v>
      </c>
      <c r="X86" s="103"/>
      <c r="Y86" s="6" t="s">
        <v>676</v>
      </c>
      <c r="Z86" s="64" t="s">
        <v>522</v>
      </c>
      <c r="AA86" s="12">
        <v>38</v>
      </c>
      <c r="AB86" s="6" t="s">
        <v>148</v>
      </c>
      <c r="AC86" s="64">
        <v>3084</v>
      </c>
      <c r="AJ86" s="60"/>
      <c r="AK86" s="67" t="s">
        <v>450</v>
      </c>
      <c r="AN86" s="60"/>
      <c r="AO86" s="60"/>
      <c r="AP86" s="60"/>
      <c r="AQ86" s="60"/>
      <c r="AR86" s="72"/>
      <c r="AS86" s="60"/>
      <c r="AT86" s="7"/>
      <c r="AU86" s="7"/>
      <c r="AV86" s="92"/>
      <c r="AW86" s="93"/>
      <c r="AX86" s="77"/>
      <c r="AY86" s="80"/>
      <c r="AZ86" s="94"/>
      <c r="BA86" s="94"/>
      <c r="BB86" s="80" t="s">
        <v>519</v>
      </c>
      <c r="BC86" s="95"/>
      <c r="BD86" s="92"/>
      <c r="BE86" s="92"/>
      <c r="BF86" s="92"/>
      <c r="BG86" s="92"/>
      <c r="BH86" s="92"/>
      <c r="BI86" s="92"/>
      <c r="BJ86" s="92"/>
      <c r="BK86" s="92"/>
      <c r="BL86" s="92"/>
      <c r="BM86" s="92"/>
      <c r="BN86" s="92"/>
      <c r="BO86" s="92"/>
      <c r="BP86" s="92"/>
      <c r="BQ86" s="92"/>
      <c r="BS86" s="6"/>
      <c r="BT86" s="11"/>
      <c r="BU86" s="6"/>
      <c r="BV86" s="6"/>
    </row>
    <row r="87" spans="1:74" ht="15.75" x14ac:dyDescent="0.25">
      <c r="A87" s="50" t="s">
        <v>449</v>
      </c>
      <c r="B87" s="52"/>
      <c r="C87" s="7" t="s">
        <v>118</v>
      </c>
      <c r="D87" s="7" t="s">
        <v>510</v>
      </c>
      <c r="E87" s="7"/>
      <c r="F87" s="55"/>
      <c r="G87" s="6"/>
      <c r="H87" s="6"/>
      <c r="I87" s="10" t="s">
        <v>110</v>
      </c>
      <c r="J87" s="11" t="s">
        <v>679</v>
      </c>
      <c r="K87" s="102" t="s">
        <v>512</v>
      </c>
      <c r="L87" s="98"/>
      <c r="M87" s="98">
        <v>1000</v>
      </c>
      <c r="N87" s="60" t="s">
        <v>513</v>
      </c>
      <c r="O87" s="88"/>
      <c r="P87" s="60" t="s">
        <v>680</v>
      </c>
      <c r="Q87" s="60"/>
      <c r="R87" s="60"/>
      <c r="S87" s="89"/>
      <c r="T87" s="106"/>
      <c r="U87" s="88"/>
      <c r="V87" s="91"/>
      <c r="W87" s="12" t="s">
        <v>515</v>
      </c>
      <c r="X87" s="103"/>
      <c r="Y87" s="6" t="s">
        <v>681</v>
      </c>
      <c r="Z87" s="64" t="s">
        <v>517</v>
      </c>
      <c r="AA87" s="12">
        <v>39</v>
      </c>
      <c r="AB87" s="6" t="s">
        <v>148</v>
      </c>
      <c r="AC87" s="64">
        <v>3060</v>
      </c>
      <c r="AJ87" s="60"/>
      <c r="AK87" s="67" t="s">
        <v>518</v>
      </c>
      <c r="AN87" s="60"/>
      <c r="AO87" s="60"/>
      <c r="AP87" s="60"/>
      <c r="AQ87" s="60"/>
      <c r="AR87" s="72"/>
      <c r="AS87" s="60"/>
      <c r="AT87" s="7"/>
      <c r="AU87" s="7"/>
      <c r="AV87" s="92"/>
      <c r="AW87" s="93"/>
      <c r="AX87" s="77"/>
      <c r="AY87" s="80"/>
      <c r="AZ87" s="94"/>
      <c r="BA87" s="94"/>
      <c r="BB87" s="80" t="s">
        <v>519</v>
      </c>
      <c r="BC87" s="95"/>
      <c r="BD87" s="92"/>
      <c r="BE87" s="92"/>
      <c r="BF87" s="92"/>
      <c r="BG87" s="92"/>
      <c r="BH87" s="92"/>
      <c r="BI87" s="92"/>
      <c r="BJ87" s="92"/>
      <c r="BK87" s="92"/>
      <c r="BL87" s="92"/>
      <c r="BM87" s="92"/>
      <c r="BN87" s="92"/>
      <c r="BO87" s="92"/>
      <c r="BP87" s="92"/>
      <c r="BQ87" s="92"/>
      <c r="BS87" s="6"/>
      <c r="BT87" s="11"/>
      <c r="BU87" s="6"/>
      <c r="BV87" s="6"/>
    </row>
    <row r="88" spans="1:74" ht="15.75" x14ac:dyDescent="0.25">
      <c r="A88" s="50" t="s">
        <v>449</v>
      </c>
      <c r="B88" s="52"/>
      <c r="C88" s="7" t="s">
        <v>118</v>
      </c>
      <c r="D88" s="7" t="s">
        <v>510</v>
      </c>
      <c r="E88" s="7"/>
      <c r="F88" s="55"/>
      <c r="G88" s="6"/>
      <c r="H88" s="6"/>
      <c r="I88" s="10" t="s">
        <v>110</v>
      </c>
      <c r="J88" s="11" t="s">
        <v>682</v>
      </c>
      <c r="K88" s="102" t="s">
        <v>512</v>
      </c>
      <c r="L88" s="98"/>
      <c r="M88" s="98">
        <v>1000</v>
      </c>
      <c r="N88" s="60" t="s">
        <v>513</v>
      </c>
      <c r="O88" s="88"/>
      <c r="P88" s="60" t="s">
        <v>683</v>
      </c>
      <c r="Q88" s="60"/>
      <c r="R88" s="60"/>
      <c r="S88" s="89"/>
      <c r="T88" s="106"/>
      <c r="U88" s="88"/>
      <c r="V88" s="91"/>
      <c r="W88" s="12" t="s">
        <v>515</v>
      </c>
      <c r="X88" s="103"/>
      <c r="Y88" s="6" t="s">
        <v>681</v>
      </c>
      <c r="Z88" s="64" t="s">
        <v>522</v>
      </c>
      <c r="AA88" s="12">
        <v>39</v>
      </c>
      <c r="AB88" s="6" t="s">
        <v>148</v>
      </c>
      <c r="AC88" s="64">
        <v>3084</v>
      </c>
      <c r="AJ88" s="60"/>
      <c r="AK88" s="67" t="s">
        <v>450</v>
      </c>
      <c r="AN88" s="60"/>
      <c r="AO88" s="60"/>
      <c r="AP88" s="60"/>
      <c r="AQ88" s="60"/>
      <c r="AR88" s="72"/>
      <c r="AS88" s="60"/>
      <c r="AT88" s="7"/>
      <c r="AU88" s="7"/>
      <c r="AV88" s="92"/>
      <c r="AW88" s="93"/>
      <c r="AX88" s="77"/>
      <c r="AY88" s="80"/>
      <c r="AZ88" s="94"/>
      <c r="BA88" s="94"/>
      <c r="BB88" s="80" t="s">
        <v>519</v>
      </c>
      <c r="BC88" s="95"/>
      <c r="BD88" s="92"/>
      <c r="BE88" s="92"/>
      <c r="BF88" s="92"/>
      <c r="BG88" s="92"/>
      <c r="BH88" s="92"/>
      <c r="BI88" s="92"/>
      <c r="BJ88" s="92"/>
      <c r="BK88" s="92"/>
      <c r="BL88" s="92"/>
      <c r="BM88" s="92"/>
      <c r="BN88" s="92"/>
      <c r="BO88" s="92"/>
      <c r="BP88" s="92"/>
      <c r="BQ88" s="92"/>
      <c r="BS88" s="6"/>
      <c r="BT88" s="11"/>
      <c r="BU88" s="6"/>
      <c r="BV88" s="6"/>
    </row>
    <row r="89" spans="1:74" ht="15.75" x14ac:dyDescent="0.25">
      <c r="A89" s="50" t="s">
        <v>449</v>
      </c>
      <c r="B89" s="52"/>
      <c r="C89" s="7" t="s">
        <v>118</v>
      </c>
      <c r="D89" s="7" t="s">
        <v>510</v>
      </c>
      <c r="E89" s="7"/>
      <c r="F89" s="55"/>
      <c r="G89" s="6"/>
      <c r="H89" s="6"/>
      <c r="I89" s="10" t="s">
        <v>110</v>
      </c>
      <c r="J89" s="11" t="s">
        <v>684</v>
      </c>
      <c r="K89" s="102" t="s">
        <v>512</v>
      </c>
      <c r="L89" s="98"/>
      <c r="M89" s="98">
        <v>1000</v>
      </c>
      <c r="N89" s="60" t="s">
        <v>513</v>
      </c>
      <c r="O89" s="88"/>
      <c r="P89" s="60" t="s">
        <v>685</v>
      </c>
      <c r="Q89" s="60"/>
      <c r="R89" s="60"/>
      <c r="S89" s="89"/>
      <c r="T89" s="106"/>
      <c r="U89" s="88"/>
      <c r="V89" s="91"/>
      <c r="W89" s="12" t="s">
        <v>515</v>
      </c>
      <c r="X89" s="103"/>
      <c r="Y89" s="6" t="s">
        <v>686</v>
      </c>
      <c r="Z89" s="64" t="s">
        <v>517</v>
      </c>
      <c r="AA89" s="12">
        <v>40</v>
      </c>
      <c r="AB89" s="6" t="s">
        <v>148</v>
      </c>
      <c r="AC89" s="64">
        <v>3060</v>
      </c>
      <c r="AJ89" s="60"/>
      <c r="AK89" s="67" t="s">
        <v>518</v>
      </c>
      <c r="AN89" s="60"/>
      <c r="AO89" s="60"/>
      <c r="AP89" s="60"/>
      <c r="AQ89" s="60"/>
      <c r="AR89" s="72"/>
      <c r="AS89" s="60"/>
      <c r="AT89" s="7"/>
      <c r="AU89" s="7"/>
      <c r="AV89" s="92"/>
      <c r="AW89" s="93"/>
      <c r="AX89" s="77"/>
      <c r="AY89" s="80"/>
      <c r="AZ89" s="94"/>
      <c r="BA89" s="94"/>
      <c r="BB89" s="80" t="s">
        <v>519</v>
      </c>
      <c r="BC89" s="95"/>
      <c r="BD89" s="92"/>
      <c r="BE89" s="92"/>
      <c r="BF89" s="92"/>
      <c r="BG89" s="92"/>
      <c r="BH89" s="92"/>
      <c r="BI89" s="92"/>
      <c r="BJ89" s="92"/>
      <c r="BK89" s="92"/>
      <c r="BL89" s="92"/>
      <c r="BM89" s="92"/>
      <c r="BN89" s="92"/>
      <c r="BO89" s="92"/>
      <c r="BP89" s="92"/>
      <c r="BQ89" s="92"/>
      <c r="BS89" s="6"/>
      <c r="BT89" s="11"/>
      <c r="BU89" s="6"/>
      <c r="BV89" s="6"/>
    </row>
    <row r="90" spans="1:74" ht="15.75" x14ac:dyDescent="0.25">
      <c r="A90" s="50" t="s">
        <v>449</v>
      </c>
      <c r="B90" s="52"/>
      <c r="C90" s="7" t="s">
        <v>118</v>
      </c>
      <c r="D90" s="7" t="s">
        <v>510</v>
      </c>
      <c r="E90" s="7"/>
      <c r="F90" s="55"/>
      <c r="G90" s="6"/>
      <c r="H90" s="6"/>
      <c r="I90" s="10" t="s">
        <v>110</v>
      </c>
      <c r="J90" s="11" t="s">
        <v>687</v>
      </c>
      <c r="K90" s="102" t="s">
        <v>512</v>
      </c>
      <c r="L90" s="98"/>
      <c r="M90" s="98">
        <v>1000</v>
      </c>
      <c r="N90" s="60" t="s">
        <v>513</v>
      </c>
      <c r="O90" s="88"/>
      <c r="P90" s="60" t="s">
        <v>688</v>
      </c>
      <c r="Q90" s="60"/>
      <c r="R90" s="60"/>
      <c r="S90" s="89"/>
      <c r="T90" s="106"/>
      <c r="U90" s="88"/>
      <c r="V90" s="91"/>
      <c r="W90" s="12" t="s">
        <v>515</v>
      </c>
      <c r="X90" s="103"/>
      <c r="Y90" s="6" t="s">
        <v>686</v>
      </c>
      <c r="Z90" s="64" t="s">
        <v>522</v>
      </c>
      <c r="AA90" s="12">
        <v>40</v>
      </c>
      <c r="AB90" s="6" t="s">
        <v>148</v>
      </c>
      <c r="AC90" s="64">
        <v>3084</v>
      </c>
      <c r="AJ90" s="60"/>
      <c r="AK90" s="67" t="s">
        <v>450</v>
      </c>
      <c r="AN90" s="60"/>
      <c r="AO90" s="60"/>
      <c r="AP90" s="60"/>
      <c r="AQ90" s="60"/>
      <c r="AR90" s="72"/>
      <c r="AS90" s="60"/>
      <c r="AT90" s="7"/>
      <c r="AU90" s="7"/>
      <c r="AV90" s="92"/>
      <c r="AW90" s="93"/>
      <c r="AX90" s="77"/>
      <c r="AY90" s="80"/>
      <c r="AZ90" s="94"/>
      <c r="BA90" s="94"/>
      <c r="BB90" s="80" t="s">
        <v>519</v>
      </c>
      <c r="BC90" s="95"/>
      <c r="BD90" s="92"/>
      <c r="BE90" s="92"/>
      <c r="BF90" s="92"/>
      <c r="BG90" s="92"/>
      <c r="BH90" s="92"/>
      <c r="BI90" s="92"/>
      <c r="BJ90" s="92"/>
      <c r="BK90" s="92"/>
      <c r="BL90" s="92"/>
      <c r="BM90" s="92"/>
      <c r="BN90" s="92"/>
      <c r="BO90" s="92"/>
      <c r="BP90" s="92"/>
      <c r="BQ90" s="92"/>
      <c r="BS90" s="6"/>
      <c r="BT90" s="11"/>
      <c r="BU90" s="6"/>
      <c r="BV90" s="6"/>
    </row>
    <row r="91" spans="1:74" ht="15.75" x14ac:dyDescent="0.25">
      <c r="A91" s="50" t="s">
        <v>449</v>
      </c>
      <c r="B91" s="52"/>
      <c r="C91" s="7" t="s">
        <v>118</v>
      </c>
      <c r="D91" s="7" t="s">
        <v>510</v>
      </c>
      <c r="E91" s="7"/>
      <c r="F91" s="55"/>
      <c r="G91" s="6"/>
      <c r="H91" s="6"/>
      <c r="I91" s="10" t="s">
        <v>110</v>
      </c>
      <c r="J91" s="11" t="s">
        <v>689</v>
      </c>
      <c r="K91" s="102" t="s">
        <v>512</v>
      </c>
      <c r="L91" s="98"/>
      <c r="M91" s="98">
        <v>1000</v>
      </c>
      <c r="N91" s="60" t="s">
        <v>513</v>
      </c>
      <c r="O91" s="88"/>
      <c r="P91" s="60" t="s">
        <v>690</v>
      </c>
      <c r="Q91" s="60"/>
      <c r="R91" s="60"/>
      <c r="S91" s="89"/>
      <c r="T91" s="106"/>
      <c r="U91" s="88"/>
      <c r="V91" s="91"/>
      <c r="W91" s="12" t="s">
        <v>515</v>
      </c>
      <c r="X91" s="103"/>
      <c r="Y91" s="6" t="s">
        <v>691</v>
      </c>
      <c r="Z91" s="64" t="s">
        <v>517</v>
      </c>
      <c r="AA91" s="12">
        <v>41</v>
      </c>
      <c r="AB91" s="6" t="s">
        <v>148</v>
      </c>
      <c r="AC91" s="64">
        <v>3060</v>
      </c>
      <c r="AJ91" s="60"/>
      <c r="AK91" s="67" t="s">
        <v>518</v>
      </c>
      <c r="AN91" s="60"/>
      <c r="AO91" s="60"/>
      <c r="AP91" s="60"/>
      <c r="AQ91" s="60"/>
      <c r="AR91" s="72"/>
      <c r="AS91" s="60"/>
      <c r="AT91" s="7"/>
      <c r="AU91" s="7"/>
      <c r="AV91" s="92"/>
      <c r="AW91" s="93"/>
      <c r="AX91" s="77"/>
      <c r="AY91" s="80"/>
      <c r="AZ91" s="94"/>
      <c r="BA91" s="94"/>
      <c r="BB91" s="80" t="s">
        <v>519</v>
      </c>
      <c r="BC91" s="95"/>
      <c r="BD91" s="92"/>
      <c r="BE91" s="92"/>
      <c r="BF91" s="92"/>
      <c r="BG91" s="92"/>
      <c r="BH91" s="92"/>
      <c r="BI91" s="92"/>
      <c r="BJ91" s="92"/>
      <c r="BK91" s="92"/>
      <c r="BL91" s="92"/>
      <c r="BM91" s="92"/>
      <c r="BN91" s="92"/>
      <c r="BO91" s="92"/>
      <c r="BP91" s="92"/>
      <c r="BQ91" s="92"/>
      <c r="BS91" s="6"/>
      <c r="BT91" s="11"/>
      <c r="BU91" s="6"/>
      <c r="BV91" s="6"/>
    </row>
    <row r="92" spans="1:74" ht="15.75" x14ac:dyDescent="0.25">
      <c r="A92" s="50" t="s">
        <v>449</v>
      </c>
      <c r="B92" s="52"/>
      <c r="C92" s="7" t="s">
        <v>118</v>
      </c>
      <c r="D92" s="7" t="s">
        <v>510</v>
      </c>
      <c r="E92" s="7"/>
      <c r="F92" s="55"/>
      <c r="G92" s="6"/>
      <c r="H92" s="6"/>
      <c r="I92" s="10" t="s">
        <v>110</v>
      </c>
      <c r="J92" s="11" t="s">
        <v>692</v>
      </c>
      <c r="K92" s="102" t="s">
        <v>512</v>
      </c>
      <c r="L92" s="98"/>
      <c r="M92" s="98">
        <v>1000</v>
      </c>
      <c r="N92" s="60" t="s">
        <v>513</v>
      </c>
      <c r="O92" s="88"/>
      <c r="P92" s="60" t="s">
        <v>693</v>
      </c>
      <c r="Q92" s="60"/>
      <c r="R92" s="60"/>
      <c r="S92" s="89"/>
      <c r="T92" s="106"/>
      <c r="U92" s="88"/>
      <c r="V92" s="91"/>
      <c r="W92" s="12" t="s">
        <v>515</v>
      </c>
      <c r="X92" s="103"/>
      <c r="Y92" s="6" t="s">
        <v>691</v>
      </c>
      <c r="Z92" s="64" t="s">
        <v>522</v>
      </c>
      <c r="AA92" s="12">
        <v>41</v>
      </c>
      <c r="AB92" s="6" t="s">
        <v>148</v>
      </c>
      <c r="AC92" s="64">
        <v>3084</v>
      </c>
      <c r="AJ92" s="60"/>
      <c r="AK92" s="67" t="s">
        <v>450</v>
      </c>
      <c r="AN92" s="60"/>
      <c r="AO92" s="60"/>
      <c r="AP92" s="60"/>
      <c r="AQ92" s="60"/>
      <c r="AR92" s="72"/>
      <c r="AS92" s="60"/>
      <c r="AT92" s="7"/>
      <c r="AU92" s="7"/>
      <c r="AV92" s="92"/>
      <c r="AW92" s="93"/>
      <c r="AX92" s="77"/>
      <c r="AY92" s="80"/>
      <c r="AZ92" s="94"/>
      <c r="BA92" s="94"/>
      <c r="BB92" s="80" t="s">
        <v>519</v>
      </c>
      <c r="BC92" s="95"/>
      <c r="BD92" s="92"/>
      <c r="BE92" s="92"/>
      <c r="BF92" s="92"/>
      <c r="BG92" s="92"/>
      <c r="BH92" s="92"/>
      <c r="BI92" s="92"/>
      <c r="BJ92" s="92"/>
      <c r="BK92" s="92"/>
      <c r="BL92" s="92"/>
      <c r="BM92" s="92"/>
      <c r="BN92" s="92"/>
      <c r="BO92" s="92"/>
      <c r="BP92" s="92"/>
      <c r="BQ92" s="92"/>
      <c r="BS92" s="6"/>
      <c r="BT92" s="11"/>
      <c r="BU92" s="6"/>
      <c r="BV92" s="6"/>
    </row>
    <row r="93" spans="1:74" ht="15.75" x14ac:dyDescent="0.25">
      <c r="A93" s="50" t="s">
        <v>449</v>
      </c>
      <c r="B93" s="52"/>
      <c r="C93" s="7" t="s">
        <v>118</v>
      </c>
      <c r="D93" s="7" t="s">
        <v>510</v>
      </c>
      <c r="E93" s="7"/>
      <c r="F93" s="55"/>
      <c r="G93" s="6"/>
      <c r="H93" s="6"/>
      <c r="I93" s="10" t="s">
        <v>110</v>
      </c>
      <c r="J93" s="11" t="s">
        <v>694</v>
      </c>
      <c r="K93" s="102" t="s">
        <v>512</v>
      </c>
      <c r="L93" s="98"/>
      <c r="M93" s="98">
        <v>1000</v>
      </c>
      <c r="N93" s="60" t="s">
        <v>513</v>
      </c>
      <c r="O93" s="88"/>
      <c r="P93" s="60" t="s">
        <v>695</v>
      </c>
      <c r="Q93" s="60"/>
      <c r="R93" s="60"/>
      <c r="S93" s="89"/>
      <c r="T93" s="106"/>
      <c r="U93" s="88"/>
      <c r="V93" s="91"/>
      <c r="W93" s="12" t="s">
        <v>515</v>
      </c>
      <c r="X93" s="103"/>
      <c r="Y93" s="6" t="s">
        <v>696</v>
      </c>
      <c r="Z93" s="64" t="s">
        <v>517</v>
      </c>
      <c r="AA93" s="12">
        <v>42</v>
      </c>
      <c r="AB93" s="6" t="s">
        <v>148</v>
      </c>
      <c r="AC93" s="64">
        <v>3060</v>
      </c>
      <c r="AJ93" s="60"/>
      <c r="AK93" s="67" t="s">
        <v>518</v>
      </c>
      <c r="AN93" s="60"/>
      <c r="AO93" s="60"/>
      <c r="AP93" s="60"/>
      <c r="AQ93" s="60"/>
      <c r="AR93" s="72"/>
      <c r="AS93" s="60"/>
      <c r="AT93" s="7"/>
      <c r="AU93" s="7"/>
      <c r="AV93" s="92"/>
      <c r="AW93" s="93"/>
      <c r="AX93" s="77"/>
      <c r="AY93" s="80"/>
      <c r="AZ93" s="94"/>
      <c r="BA93" s="94"/>
      <c r="BB93" s="80" t="s">
        <v>519</v>
      </c>
      <c r="BC93" s="95"/>
      <c r="BD93" s="92"/>
      <c r="BE93" s="92"/>
      <c r="BF93" s="92"/>
      <c r="BG93" s="92"/>
      <c r="BH93" s="92"/>
      <c r="BI93" s="92"/>
      <c r="BJ93" s="92"/>
      <c r="BK93" s="92"/>
      <c r="BL93" s="92"/>
      <c r="BM93" s="92"/>
      <c r="BN93" s="92"/>
      <c r="BO93" s="92"/>
      <c r="BP93" s="92"/>
      <c r="BQ93" s="92"/>
      <c r="BS93" s="6"/>
      <c r="BT93" s="11"/>
      <c r="BU93" s="6"/>
      <c r="BV93" s="6"/>
    </row>
    <row r="94" spans="1:74" ht="15.75" x14ac:dyDescent="0.25">
      <c r="A94" s="50" t="s">
        <v>449</v>
      </c>
      <c r="B94" s="52"/>
      <c r="C94" s="7" t="s">
        <v>118</v>
      </c>
      <c r="D94" s="7" t="s">
        <v>510</v>
      </c>
      <c r="E94" s="7"/>
      <c r="F94" s="55"/>
      <c r="G94" s="6"/>
      <c r="H94" s="6"/>
      <c r="I94" s="10" t="s">
        <v>110</v>
      </c>
      <c r="J94" s="11" t="s">
        <v>697</v>
      </c>
      <c r="K94" s="102" t="s">
        <v>512</v>
      </c>
      <c r="L94" s="98"/>
      <c r="M94" s="98">
        <v>1000</v>
      </c>
      <c r="N94" s="60" t="s">
        <v>513</v>
      </c>
      <c r="O94" s="88"/>
      <c r="P94" s="60" t="s">
        <v>698</v>
      </c>
      <c r="Q94" s="60"/>
      <c r="R94" s="60"/>
      <c r="S94" s="89"/>
      <c r="T94" s="106"/>
      <c r="U94" s="88"/>
      <c r="V94" s="91"/>
      <c r="W94" s="12" t="s">
        <v>515</v>
      </c>
      <c r="X94" s="103"/>
      <c r="Y94" s="6" t="s">
        <v>696</v>
      </c>
      <c r="Z94" s="64" t="s">
        <v>522</v>
      </c>
      <c r="AA94" s="12">
        <v>42</v>
      </c>
      <c r="AB94" s="6" t="s">
        <v>148</v>
      </c>
      <c r="AC94" s="64">
        <v>3084</v>
      </c>
      <c r="AJ94" s="60"/>
      <c r="AK94" s="67" t="s">
        <v>450</v>
      </c>
      <c r="AN94" s="60"/>
      <c r="AO94" s="60"/>
      <c r="AP94" s="60"/>
      <c r="AQ94" s="60"/>
      <c r="AR94" s="72"/>
      <c r="AS94" s="60"/>
      <c r="AT94" s="7"/>
      <c r="AU94" s="7"/>
      <c r="AV94" s="92"/>
      <c r="AW94" s="93"/>
      <c r="AX94" s="77"/>
      <c r="AY94" s="80"/>
      <c r="AZ94" s="94"/>
      <c r="BA94" s="94"/>
      <c r="BB94" s="80" t="s">
        <v>519</v>
      </c>
      <c r="BC94" s="95"/>
      <c r="BD94" s="92"/>
      <c r="BE94" s="92"/>
      <c r="BF94" s="92"/>
      <c r="BG94" s="92"/>
      <c r="BH94" s="92"/>
      <c r="BI94" s="92"/>
      <c r="BJ94" s="92"/>
      <c r="BK94" s="92"/>
      <c r="BL94" s="92"/>
      <c r="BM94" s="92"/>
      <c r="BN94" s="92"/>
      <c r="BO94" s="92"/>
      <c r="BP94" s="92"/>
      <c r="BQ94" s="92"/>
      <c r="BS94" s="6"/>
      <c r="BT94" s="11"/>
      <c r="BU94" s="6"/>
      <c r="BV94" s="6"/>
    </row>
    <row r="95" spans="1:74" ht="15.75" x14ac:dyDescent="0.25">
      <c r="A95" s="50" t="s">
        <v>449</v>
      </c>
      <c r="B95" s="52"/>
      <c r="C95" s="7" t="s">
        <v>118</v>
      </c>
      <c r="D95" s="7" t="s">
        <v>510</v>
      </c>
      <c r="E95" s="7"/>
      <c r="F95" s="55"/>
      <c r="G95" s="6"/>
      <c r="H95" s="6"/>
      <c r="I95" s="10" t="s">
        <v>110</v>
      </c>
      <c r="J95" s="11" t="s">
        <v>701</v>
      </c>
      <c r="K95" s="102" t="s">
        <v>512</v>
      </c>
      <c r="L95" s="98"/>
      <c r="M95" s="98">
        <v>1000</v>
      </c>
      <c r="N95" s="60" t="s">
        <v>513</v>
      </c>
      <c r="O95" s="88"/>
      <c r="P95" s="60" t="s">
        <v>702</v>
      </c>
      <c r="Q95" s="60"/>
      <c r="R95" s="60"/>
      <c r="S95" s="89"/>
      <c r="T95" s="106"/>
      <c r="U95" s="88"/>
      <c r="V95" s="91"/>
      <c r="W95" s="12" t="s">
        <v>515</v>
      </c>
      <c r="X95" s="103"/>
      <c r="Y95" s="6" t="s">
        <v>700</v>
      </c>
      <c r="Z95" s="64" t="s">
        <v>517</v>
      </c>
      <c r="AA95" s="12">
        <v>45</v>
      </c>
      <c r="AB95" s="6" t="s">
        <v>148</v>
      </c>
      <c r="AC95" s="64">
        <v>3060</v>
      </c>
      <c r="AJ95" s="60"/>
      <c r="AK95" s="67" t="s">
        <v>518</v>
      </c>
      <c r="AN95" s="60"/>
      <c r="AO95" s="60"/>
      <c r="AP95" s="60"/>
      <c r="AQ95" s="60"/>
      <c r="AR95" s="72"/>
      <c r="AS95" s="60"/>
      <c r="AT95" s="7"/>
      <c r="AU95" s="7"/>
      <c r="AV95" s="92"/>
      <c r="AW95" s="93"/>
      <c r="AX95" s="77"/>
      <c r="AY95" s="80"/>
      <c r="AZ95" s="94"/>
      <c r="BA95" s="94"/>
      <c r="BB95" s="80" t="s">
        <v>519</v>
      </c>
      <c r="BC95" s="95"/>
      <c r="BD95" s="92"/>
      <c r="BE95" s="92"/>
      <c r="BF95" s="92"/>
      <c r="BG95" s="92"/>
      <c r="BH95" s="92"/>
      <c r="BI95" s="92"/>
      <c r="BJ95" s="92"/>
      <c r="BK95" s="92"/>
      <c r="BL95" s="92"/>
      <c r="BM95" s="92"/>
      <c r="BN95" s="92"/>
      <c r="BO95" s="92"/>
      <c r="BP95" s="92"/>
      <c r="BQ95" s="92"/>
      <c r="BS95" s="6"/>
      <c r="BT95" s="11"/>
      <c r="BU95" s="6"/>
      <c r="BV95" s="6"/>
    </row>
    <row r="96" spans="1:74" ht="15.75" x14ac:dyDescent="0.25">
      <c r="A96" s="50" t="s">
        <v>449</v>
      </c>
      <c r="B96" s="52"/>
      <c r="C96" s="7" t="s">
        <v>118</v>
      </c>
      <c r="D96" s="7" t="s">
        <v>510</v>
      </c>
      <c r="E96" s="7"/>
      <c r="F96" s="55"/>
      <c r="G96" s="6"/>
      <c r="H96" s="6"/>
      <c r="I96" s="10" t="s">
        <v>110</v>
      </c>
      <c r="J96" s="11" t="s">
        <v>703</v>
      </c>
      <c r="K96" s="102" t="s">
        <v>512</v>
      </c>
      <c r="L96" s="98"/>
      <c r="M96" s="98">
        <v>1000</v>
      </c>
      <c r="N96" s="60" t="s">
        <v>513</v>
      </c>
      <c r="O96" s="88"/>
      <c r="P96" s="60" t="s">
        <v>699</v>
      </c>
      <c r="Q96" s="60"/>
      <c r="R96" s="60"/>
      <c r="S96" s="89"/>
      <c r="T96" s="106"/>
      <c r="U96" s="88"/>
      <c r="V96" s="91"/>
      <c r="W96" s="12" t="s">
        <v>515</v>
      </c>
      <c r="X96" s="103"/>
      <c r="Y96" s="6" t="s">
        <v>700</v>
      </c>
      <c r="Z96" s="64" t="s">
        <v>522</v>
      </c>
      <c r="AA96" s="12">
        <v>45</v>
      </c>
      <c r="AB96" s="6" t="s">
        <v>148</v>
      </c>
      <c r="AC96" s="64">
        <v>3084</v>
      </c>
      <c r="AJ96" s="60"/>
      <c r="AK96" s="67" t="s">
        <v>450</v>
      </c>
      <c r="AN96" s="60"/>
      <c r="AO96" s="60"/>
      <c r="AP96" s="60"/>
      <c r="AQ96" s="60"/>
      <c r="AR96" s="72"/>
      <c r="AS96" s="60"/>
      <c r="AT96" s="7"/>
      <c r="AU96" s="7"/>
      <c r="AV96" s="92"/>
      <c r="AW96" s="93"/>
      <c r="AX96" s="77"/>
      <c r="AY96" s="80"/>
      <c r="AZ96" s="94"/>
      <c r="BA96" s="94"/>
      <c r="BB96" s="80" t="s">
        <v>519</v>
      </c>
      <c r="BC96" s="95"/>
      <c r="BD96" s="92"/>
      <c r="BE96" s="92"/>
      <c r="BF96" s="92"/>
      <c r="BG96" s="92"/>
      <c r="BH96" s="92"/>
      <c r="BI96" s="92"/>
      <c r="BJ96" s="92"/>
      <c r="BK96" s="92"/>
      <c r="BL96" s="92"/>
      <c r="BM96" s="92"/>
      <c r="BN96" s="92"/>
      <c r="BO96" s="92"/>
      <c r="BP96" s="92"/>
      <c r="BQ96" s="92"/>
      <c r="BS96" s="6"/>
      <c r="BT96" s="11"/>
      <c r="BU96" s="6"/>
      <c r="BV96" s="6"/>
    </row>
    <row r="97" spans="1:74" ht="15.75" x14ac:dyDescent="0.25">
      <c r="A97" s="50" t="s">
        <v>449</v>
      </c>
      <c r="B97" s="52"/>
      <c r="C97" s="7" t="s">
        <v>118</v>
      </c>
      <c r="D97" s="7" t="s">
        <v>510</v>
      </c>
      <c r="E97" s="7"/>
      <c r="F97" s="55"/>
      <c r="G97" s="6"/>
      <c r="H97" s="6"/>
      <c r="I97" s="10" t="s">
        <v>110</v>
      </c>
      <c r="J97" s="11" t="s">
        <v>704</v>
      </c>
      <c r="K97" s="102" t="s">
        <v>512</v>
      </c>
      <c r="L97" s="98"/>
      <c r="M97" s="98">
        <v>1000</v>
      </c>
      <c r="N97" s="60" t="s">
        <v>513</v>
      </c>
      <c r="O97" s="88"/>
      <c r="P97" s="60" t="s">
        <v>705</v>
      </c>
      <c r="Q97" s="60"/>
      <c r="R97" s="60"/>
      <c r="S97" s="89"/>
      <c r="T97" s="106"/>
      <c r="U97" s="88"/>
      <c r="V97" s="91"/>
      <c r="W97" s="12" t="s">
        <v>515</v>
      </c>
      <c r="X97" s="103"/>
      <c r="Y97" s="6" t="s">
        <v>706</v>
      </c>
      <c r="Z97" s="64" t="s">
        <v>517</v>
      </c>
      <c r="AA97" s="12">
        <v>46</v>
      </c>
      <c r="AB97" s="6" t="s">
        <v>148</v>
      </c>
      <c r="AC97" s="64">
        <v>3060</v>
      </c>
      <c r="AJ97" s="60"/>
      <c r="AK97" s="67" t="s">
        <v>518</v>
      </c>
      <c r="AN97" s="60"/>
      <c r="AO97" s="60"/>
      <c r="AP97" s="60"/>
      <c r="AQ97" s="60"/>
      <c r="AR97" s="72"/>
      <c r="AS97" s="60"/>
      <c r="AT97" s="7"/>
      <c r="AU97" s="7"/>
      <c r="AV97" s="92"/>
      <c r="AW97" s="93"/>
      <c r="AX97" s="77"/>
      <c r="AY97" s="80"/>
      <c r="AZ97" s="94"/>
      <c r="BA97" s="94"/>
      <c r="BB97" s="80" t="s">
        <v>519</v>
      </c>
      <c r="BC97" s="95"/>
      <c r="BD97" s="92"/>
      <c r="BE97" s="92"/>
      <c r="BF97" s="92"/>
      <c r="BG97" s="92"/>
      <c r="BH97" s="92"/>
      <c r="BI97" s="92"/>
      <c r="BJ97" s="92"/>
      <c r="BK97" s="92"/>
      <c r="BL97" s="92"/>
      <c r="BM97" s="92"/>
      <c r="BN97" s="92"/>
      <c r="BO97" s="92"/>
      <c r="BP97" s="92"/>
      <c r="BQ97" s="92"/>
      <c r="BS97" s="6"/>
      <c r="BT97" s="11"/>
      <c r="BU97" s="6"/>
      <c r="BV97" s="6"/>
    </row>
    <row r="98" spans="1:74" ht="15.75" x14ac:dyDescent="0.25">
      <c r="A98" s="50" t="s">
        <v>449</v>
      </c>
      <c r="B98" s="52"/>
      <c r="C98" s="7" t="s">
        <v>118</v>
      </c>
      <c r="D98" s="7" t="s">
        <v>510</v>
      </c>
      <c r="E98" s="7"/>
      <c r="F98" s="55"/>
      <c r="G98" s="6"/>
      <c r="H98" s="6"/>
      <c r="I98" s="10" t="s">
        <v>110</v>
      </c>
      <c r="J98" s="11" t="s">
        <v>707</v>
      </c>
      <c r="K98" s="102" t="s">
        <v>512</v>
      </c>
      <c r="L98" s="98"/>
      <c r="M98" s="98">
        <v>1000</v>
      </c>
      <c r="N98" s="60" t="s">
        <v>513</v>
      </c>
      <c r="O98" s="88"/>
      <c r="P98" s="60" t="s">
        <v>708</v>
      </c>
      <c r="Q98" s="60"/>
      <c r="R98" s="60"/>
      <c r="S98" s="89"/>
      <c r="T98" s="106"/>
      <c r="U98" s="88"/>
      <c r="V98" s="91"/>
      <c r="W98" s="12" t="s">
        <v>515</v>
      </c>
      <c r="X98" s="103"/>
      <c r="Y98" s="6" t="s">
        <v>706</v>
      </c>
      <c r="Z98" s="64" t="s">
        <v>522</v>
      </c>
      <c r="AA98" s="12">
        <v>46</v>
      </c>
      <c r="AB98" s="6" t="s">
        <v>148</v>
      </c>
      <c r="AC98" s="64">
        <v>3084</v>
      </c>
      <c r="AJ98" s="60"/>
      <c r="AK98" s="67" t="s">
        <v>450</v>
      </c>
      <c r="AN98" s="60"/>
      <c r="AO98" s="60"/>
      <c r="AP98" s="60"/>
      <c r="AQ98" s="60"/>
      <c r="AR98" s="72"/>
      <c r="AS98" s="60"/>
      <c r="AT98" s="7"/>
      <c r="AU98" s="7"/>
      <c r="AV98" s="92"/>
      <c r="AW98" s="93"/>
      <c r="AX98" s="77"/>
      <c r="AY98" s="80"/>
      <c r="AZ98" s="94"/>
      <c r="BA98" s="94"/>
      <c r="BB98" s="80" t="s">
        <v>519</v>
      </c>
      <c r="BC98" s="95"/>
      <c r="BD98" s="92"/>
      <c r="BE98" s="92"/>
      <c r="BF98" s="92"/>
      <c r="BG98" s="92"/>
      <c r="BH98" s="92"/>
      <c r="BI98" s="92"/>
      <c r="BJ98" s="92"/>
      <c r="BK98" s="92"/>
      <c r="BL98" s="92"/>
      <c r="BM98" s="92"/>
      <c r="BN98" s="92"/>
      <c r="BO98" s="92"/>
      <c r="BP98" s="92"/>
      <c r="BQ98" s="92"/>
      <c r="BS98" s="6"/>
      <c r="BT98" s="11"/>
      <c r="BU98" s="6"/>
      <c r="BV98" s="6"/>
    </row>
    <row r="99" spans="1:74" ht="15.75" x14ac:dyDescent="0.25">
      <c r="A99" s="50" t="s">
        <v>449</v>
      </c>
      <c r="B99" s="52"/>
      <c r="C99" s="7" t="s">
        <v>118</v>
      </c>
      <c r="D99" s="7" t="s">
        <v>510</v>
      </c>
      <c r="E99" s="7"/>
      <c r="F99" s="55"/>
      <c r="G99" s="6"/>
      <c r="H99" s="6"/>
      <c r="I99" s="10" t="s">
        <v>110</v>
      </c>
      <c r="J99" s="11" t="s">
        <v>709</v>
      </c>
      <c r="K99" s="102" t="s">
        <v>512</v>
      </c>
      <c r="L99" s="98"/>
      <c r="M99" s="98">
        <v>1000</v>
      </c>
      <c r="N99" s="60" t="s">
        <v>513</v>
      </c>
      <c r="O99" s="88"/>
      <c r="P99" s="60" t="s">
        <v>710</v>
      </c>
      <c r="Q99" s="60"/>
      <c r="R99" s="60"/>
      <c r="S99" s="89"/>
      <c r="T99" s="106"/>
      <c r="U99" s="88"/>
      <c r="V99" s="91"/>
      <c r="W99" s="12" t="s">
        <v>515</v>
      </c>
      <c r="X99" s="103"/>
      <c r="Y99" s="6" t="s">
        <v>711</v>
      </c>
      <c r="Z99" s="64" t="s">
        <v>517</v>
      </c>
      <c r="AA99" s="12">
        <v>47</v>
      </c>
      <c r="AB99" s="6" t="s">
        <v>148</v>
      </c>
      <c r="AC99" s="64">
        <v>3060</v>
      </c>
      <c r="AJ99" s="60"/>
      <c r="AK99" s="67" t="s">
        <v>518</v>
      </c>
      <c r="AN99" s="60"/>
      <c r="AO99" s="60"/>
      <c r="AP99" s="60"/>
      <c r="AQ99" s="60"/>
      <c r="AR99" s="72"/>
      <c r="AS99" s="60"/>
      <c r="AT99" s="7"/>
      <c r="AU99" s="7"/>
      <c r="AV99" s="92"/>
      <c r="AW99" s="93"/>
      <c r="AX99" s="77"/>
      <c r="AY99" s="80"/>
      <c r="AZ99" s="94"/>
      <c r="BA99" s="94"/>
      <c r="BB99" s="80" t="s">
        <v>519</v>
      </c>
      <c r="BC99" s="95"/>
      <c r="BD99" s="92"/>
      <c r="BE99" s="92"/>
      <c r="BF99" s="92"/>
      <c r="BG99" s="92"/>
      <c r="BH99" s="92"/>
      <c r="BI99" s="92"/>
      <c r="BJ99" s="92"/>
      <c r="BK99" s="92"/>
      <c r="BL99" s="92"/>
      <c r="BM99" s="92"/>
      <c r="BN99" s="92"/>
      <c r="BO99" s="92"/>
      <c r="BP99" s="92"/>
      <c r="BQ99" s="92"/>
      <c r="BS99" s="6"/>
      <c r="BT99" s="11"/>
      <c r="BU99" s="6"/>
      <c r="BV99" s="6"/>
    </row>
    <row r="100" spans="1:74" ht="15.75" x14ac:dyDescent="0.25">
      <c r="A100" s="50" t="s">
        <v>449</v>
      </c>
      <c r="B100" s="52"/>
      <c r="C100" s="7" t="s">
        <v>118</v>
      </c>
      <c r="D100" s="7" t="s">
        <v>510</v>
      </c>
      <c r="E100" s="7"/>
      <c r="F100" s="55"/>
      <c r="G100" s="6"/>
      <c r="H100" s="6"/>
      <c r="I100" s="10" t="s">
        <v>110</v>
      </c>
      <c r="J100" s="11" t="s">
        <v>712</v>
      </c>
      <c r="K100" s="102" t="s">
        <v>512</v>
      </c>
      <c r="L100" s="98"/>
      <c r="M100" s="98">
        <v>1000</v>
      </c>
      <c r="N100" s="60" t="s">
        <v>513</v>
      </c>
      <c r="O100" s="88"/>
      <c r="P100" s="60" t="s">
        <v>713</v>
      </c>
      <c r="Q100" s="60"/>
      <c r="R100" s="60"/>
      <c r="S100" s="89"/>
      <c r="T100" s="106"/>
      <c r="U100" s="88"/>
      <c r="V100" s="91"/>
      <c r="W100" s="12" t="s">
        <v>515</v>
      </c>
      <c r="X100" s="103"/>
      <c r="Y100" s="6" t="s">
        <v>711</v>
      </c>
      <c r="Z100" s="64" t="s">
        <v>522</v>
      </c>
      <c r="AA100" s="12">
        <v>47</v>
      </c>
      <c r="AB100" s="6" t="s">
        <v>148</v>
      </c>
      <c r="AC100" s="64">
        <v>3084</v>
      </c>
      <c r="AJ100" s="60"/>
      <c r="AK100" s="67" t="s">
        <v>450</v>
      </c>
      <c r="AN100" s="60"/>
      <c r="AO100" s="60"/>
      <c r="AP100" s="60"/>
      <c r="AQ100" s="60"/>
      <c r="AR100" s="72"/>
      <c r="AS100" s="60"/>
      <c r="AT100" s="7"/>
      <c r="AU100" s="7"/>
      <c r="AV100" s="92"/>
      <c r="AW100" s="93"/>
      <c r="AX100" s="77"/>
      <c r="AY100" s="80"/>
      <c r="AZ100" s="94"/>
      <c r="BA100" s="94"/>
      <c r="BB100" s="80" t="s">
        <v>519</v>
      </c>
      <c r="BC100" s="95"/>
      <c r="BD100" s="92"/>
      <c r="BE100" s="92"/>
      <c r="BF100" s="92"/>
      <c r="BG100" s="92"/>
      <c r="BH100" s="92"/>
      <c r="BI100" s="92"/>
      <c r="BJ100" s="92"/>
      <c r="BK100" s="92"/>
      <c r="BL100" s="92"/>
      <c r="BM100" s="92"/>
      <c r="BN100" s="92"/>
      <c r="BO100" s="92"/>
      <c r="BP100" s="92"/>
      <c r="BQ100" s="92"/>
      <c r="BS100" s="6"/>
      <c r="BT100" s="11"/>
      <c r="BU100" s="6"/>
      <c r="BV100" s="6"/>
    </row>
    <row r="101" spans="1:74" ht="15.75" x14ac:dyDescent="0.25">
      <c r="A101" s="50" t="s">
        <v>449</v>
      </c>
      <c r="B101" s="52"/>
      <c r="C101" s="7" t="s">
        <v>118</v>
      </c>
      <c r="D101" s="7" t="s">
        <v>510</v>
      </c>
      <c r="E101" s="7"/>
      <c r="F101" s="55"/>
      <c r="G101" s="6"/>
      <c r="H101" s="6"/>
      <c r="I101" s="10" t="s">
        <v>110</v>
      </c>
      <c r="J101" s="11" t="s">
        <v>714</v>
      </c>
      <c r="K101" s="102" t="s">
        <v>512</v>
      </c>
      <c r="L101" s="98"/>
      <c r="M101" s="98">
        <v>1000</v>
      </c>
      <c r="N101" s="60" t="s">
        <v>513</v>
      </c>
      <c r="O101" s="88"/>
      <c r="P101" s="60" t="s">
        <v>715</v>
      </c>
      <c r="Q101" s="60"/>
      <c r="R101" s="60"/>
      <c r="S101" s="89"/>
      <c r="T101" s="106"/>
      <c r="U101" s="88"/>
      <c r="V101" s="91"/>
      <c r="W101" s="12" t="s">
        <v>515</v>
      </c>
      <c r="X101" s="103"/>
      <c r="Y101" s="6" t="s">
        <v>716</v>
      </c>
      <c r="Z101" s="64" t="s">
        <v>517</v>
      </c>
      <c r="AA101" s="12">
        <v>48</v>
      </c>
      <c r="AB101" s="6" t="s">
        <v>148</v>
      </c>
      <c r="AC101" s="64">
        <v>3060</v>
      </c>
      <c r="AJ101" s="60"/>
      <c r="AK101" s="67" t="s">
        <v>518</v>
      </c>
      <c r="AN101" s="60"/>
      <c r="AO101" s="60"/>
      <c r="AP101" s="60"/>
      <c r="AQ101" s="60"/>
      <c r="AR101" s="72"/>
      <c r="AS101" s="60"/>
      <c r="AT101" s="7"/>
      <c r="AU101" s="7"/>
      <c r="AV101" s="92"/>
      <c r="AW101" s="93"/>
      <c r="AX101" s="77"/>
      <c r="AY101" s="80"/>
      <c r="AZ101" s="94"/>
      <c r="BA101" s="94"/>
      <c r="BB101" s="80" t="s">
        <v>519</v>
      </c>
      <c r="BC101" s="95"/>
      <c r="BD101" s="92"/>
      <c r="BE101" s="92"/>
      <c r="BF101" s="92"/>
      <c r="BG101" s="92"/>
      <c r="BH101" s="92"/>
      <c r="BI101" s="92"/>
      <c r="BJ101" s="92"/>
      <c r="BK101" s="92"/>
      <c r="BL101" s="92"/>
      <c r="BM101" s="92"/>
      <c r="BN101" s="92"/>
      <c r="BO101" s="92"/>
      <c r="BP101" s="92"/>
      <c r="BQ101" s="92"/>
      <c r="BS101" s="6"/>
      <c r="BT101" s="11"/>
      <c r="BU101" s="6"/>
      <c r="BV101" s="6"/>
    </row>
    <row r="102" spans="1:74" ht="15.75" x14ac:dyDescent="0.25">
      <c r="A102" s="50" t="s">
        <v>449</v>
      </c>
      <c r="B102" s="52"/>
      <c r="C102" s="7" t="s">
        <v>118</v>
      </c>
      <c r="D102" s="7" t="s">
        <v>510</v>
      </c>
      <c r="E102" s="7"/>
      <c r="F102" s="55"/>
      <c r="G102" s="6"/>
      <c r="H102" s="6"/>
      <c r="I102" s="10" t="s">
        <v>110</v>
      </c>
      <c r="J102" s="11" t="s">
        <v>717</v>
      </c>
      <c r="K102" s="102" t="s">
        <v>512</v>
      </c>
      <c r="L102" s="98"/>
      <c r="M102" s="98">
        <v>1000</v>
      </c>
      <c r="N102" s="60" t="s">
        <v>513</v>
      </c>
      <c r="O102" s="88"/>
      <c r="P102" s="60" t="s">
        <v>718</v>
      </c>
      <c r="Q102" s="60"/>
      <c r="R102" s="60"/>
      <c r="S102" s="89"/>
      <c r="T102" s="106"/>
      <c r="U102" s="88"/>
      <c r="V102" s="91"/>
      <c r="W102" s="12" t="s">
        <v>515</v>
      </c>
      <c r="X102" s="103"/>
      <c r="Y102" s="6" t="s">
        <v>716</v>
      </c>
      <c r="Z102" s="64" t="s">
        <v>522</v>
      </c>
      <c r="AA102" s="12">
        <v>48</v>
      </c>
      <c r="AB102" s="6" t="s">
        <v>148</v>
      </c>
      <c r="AC102" s="64">
        <v>3084</v>
      </c>
      <c r="AJ102" s="60"/>
      <c r="AK102" s="67" t="s">
        <v>450</v>
      </c>
      <c r="AN102" s="60"/>
      <c r="AO102" s="60"/>
      <c r="AP102" s="60"/>
      <c r="AQ102" s="60"/>
      <c r="AR102" s="72"/>
      <c r="AS102" s="60"/>
      <c r="AT102" s="7"/>
      <c r="AU102" s="7"/>
      <c r="AV102" s="92"/>
      <c r="AW102" s="93"/>
      <c r="AX102" s="77"/>
      <c r="AY102" s="80"/>
      <c r="AZ102" s="94"/>
      <c r="BA102" s="94"/>
      <c r="BB102" s="80" t="s">
        <v>519</v>
      </c>
      <c r="BC102" s="95"/>
      <c r="BD102" s="92"/>
      <c r="BE102" s="92"/>
      <c r="BF102" s="92"/>
      <c r="BG102" s="92"/>
      <c r="BH102" s="92"/>
      <c r="BI102" s="92"/>
      <c r="BJ102" s="92"/>
      <c r="BK102" s="92"/>
      <c r="BL102" s="92"/>
      <c r="BM102" s="92"/>
      <c r="BN102" s="92"/>
      <c r="BO102" s="92"/>
      <c r="BP102" s="92"/>
      <c r="BQ102" s="92"/>
      <c r="BS102" s="6"/>
      <c r="BT102" s="11"/>
      <c r="BU102" s="6"/>
      <c r="BV102" s="6"/>
    </row>
    <row r="103" spans="1:74" ht="15.75" x14ac:dyDescent="0.25">
      <c r="A103" s="50" t="s">
        <v>449</v>
      </c>
      <c r="B103" s="52"/>
      <c r="C103" s="7" t="s">
        <v>118</v>
      </c>
      <c r="D103" s="7" t="s">
        <v>510</v>
      </c>
      <c r="E103" s="7"/>
      <c r="F103" s="55"/>
      <c r="G103" s="6"/>
      <c r="H103" s="6"/>
      <c r="I103" s="10" t="s">
        <v>110</v>
      </c>
      <c r="J103" s="11" t="s">
        <v>719</v>
      </c>
      <c r="K103" s="102" t="s">
        <v>512</v>
      </c>
      <c r="L103" s="98"/>
      <c r="M103" s="98">
        <v>1000</v>
      </c>
      <c r="N103" s="60" t="s">
        <v>513</v>
      </c>
      <c r="O103" s="88"/>
      <c r="P103" s="60" t="s">
        <v>720</v>
      </c>
      <c r="Q103" s="60"/>
      <c r="R103" s="60"/>
      <c r="S103" s="89"/>
      <c r="T103" s="106"/>
      <c r="U103" s="88"/>
      <c r="V103" s="91"/>
      <c r="W103" s="12" t="s">
        <v>515</v>
      </c>
      <c r="X103" s="103"/>
      <c r="Y103" s="6" t="s">
        <v>721</v>
      </c>
      <c r="Z103" s="64" t="s">
        <v>517</v>
      </c>
      <c r="AA103" s="12">
        <v>49</v>
      </c>
      <c r="AB103" s="6" t="s">
        <v>148</v>
      </c>
      <c r="AC103" s="64">
        <v>3060</v>
      </c>
      <c r="AJ103" s="60"/>
      <c r="AK103" s="67" t="s">
        <v>518</v>
      </c>
      <c r="AN103" s="60"/>
      <c r="AO103" s="60"/>
      <c r="AP103" s="60"/>
      <c r="AQ103" s="60"/>
      <c r="AR103" s="72"/>
      <c r="AS103" s="60"/>
      <c r="AT103" s="7"/>
      <c r="AU103" s="7"/>
      <c r="AV103" s="92"/>
      <c r="AW103" s="93"/>
      <c r="AX103" s="77"/>
      <c r="AY103" s="80"/>
      <c r="AZ103" s="94"/>
      <c r="BA103" s="94"/>
      <c r="BB103" s="80" t="s">
        <v>519</v>
      </c>
      <c r="BC103" s="95"/>
      <c r="BD103" s="92"/>
      <c r="BE103" s="92"/>
      <c r="BF103" s="92"/>
      <c r="BG103" s="92"/>
      <c r="BH103" s="92"/>
      <c r="BI103" s="92"/>
      <c r="BJ103" s="92"/>
      <c r="BK103" s="92"/>
      <c r="BL103" s="92"/>
      <c r="BM103" s="92"/>
      <c r="BN103" s="92"/>
      <c r="BO103" s="92"/>
      <c r="BP103" s="92"/>
      <c r="BQ103" s="92"/>
      <c r="BS103" s="6"/>
      <c r="BT103" s="11"/>
      <c r="BU103" s="6"/>
      <c r="BV103" s="6"/>
    </row>
    <row r="104" spans="1:74" ht="15.75" x14ac:dyDescent="0.25">
      <c r="A104" s="50" t="s">
        <v>449</v>
      </c>
      <c r="B104" s="52"/>
      <c r="C104" s="7" t="s">
        <v>118</v>
      </c>
      <c r="D104" s="7" t="s">
        <v>510</v>
      </c>
      <c r="E104" s="7"/>
      <c r="F104" s="55"/>
      <c r="G104" s="6"/>
      <c r="H104" s="6"/>
      <c r="I104" s="10" t="s">
        <v>110</v>
      </c>
      <c r="J104" s="11" t="s">
        <v>722</v>
      </c>
      <c r="K104" s="102" t="s">
        <v>512</v>
      </c>
      <c r="L104" s="98"/>
      <c r="M104" s="98">
        <v>1000</v>
      </c>
      <c r="N104" s="60" t="s">
        <v>513</v>
      </c>
      <c r="O104" s="88"/>
      <c r="P104" s="60" t="s">
        <v>723</v>
      </c>
      <c r="Q104" s="60"/>
      <c r="R104" s="60"/>
      <c r="S104" s="89"/>
      <c r="T104" s="106"/>
      <c r="U104" s="88"/>
      <c r="V104" s="91"/>
      <c r="W104" s="12" t="s">
        <v>515</v>
      </c>
      <c r="X104" s="103"/>
      <c r="Y104" s="6" t="s">
        <v>721</v>
      </c>
      <c r="Z104" s="64" t="s">
        <v>522</v>
      </c>
      <c r="AA104" s="12">
        <v>49</v>
      </c>
      <c r="AB104" s="6" t="s">
        <v>148</v>
      </c>
      <c r="AC104" s="64">
        <v>3084</v>
      </c>
      <c r="AJ104" s="60"/>
      <c r="AK104" s="67" t="s">
        <v>450</v>
      </c>
      <c r="AN104" s="60"/>
      <c r="AO104" s="60"/>
      <c r="AP104" s="60"/>
      <c r="AQ104" s="60"/>
      <c r="AR104" s="72"/>
      <c r="AS104" s="60"/>
      <c r="AT104" s="7"/>
      <c r="AU104" s="7"/>
      <c r="AV104" s="92"/>
      <c r="AW104" s="93"/>
      <c r="AX104" s="77"/>
      <c r="AY104" s="80"/>
      <c r="AZ104" s="94"/>
      <c r="BA104" s="94"/>
      <c r="BB104" s="80" t="s">
        <v>519</v>
      </c>
      <c r="BC104" s="95"/>
      <c r="BD104" s="92"/>
      <c r="BE104" s="92"/>
      <c r="BF104" s="92"/>
      <c r="BG104" s="92"/>
      <c r="BH104" s="92"/>
      <c r="BI104" s="92"/>
      <c r="BJ104" s="92"/>
      <c r="BK104" s="92"/>
      <c r="BL104" s="92"/>
      <c r="BM104" s="92"/>
      <c r="BN104" s="92"/>
      <c r="BO104" s="92"/>
      <c r="BP104" s="92"/>
      <c r="BQ104" s="92"/>
      <c r="BS104" s="6"/>
      <c r="BT104" s="11"/>
      <c r="BU104" s="6"/>
      <c r="BV104" s="6"/>
    </row>
    <row r="105" spans="1:74" ht="15.75" x14ac:dyDescent="0.25">
      <c r="A105" s="50" t="s">
        <v>449</v>
      </c>
      <c r="B105" s="52"/>
      <c r="C105" s="7" t="s">
        <v>118</v>
      </c>
      <c r="D105" s="7" t="s">
        <v>510</v>
      </c>
      <c r="E105" s="7"/>
      <c r="F105" s="55"/>
      <c r="G105" s="6"/>
      <c r="H105" s="6"/>
      <c r="I105" s="10" t="s">
        <v>110</v>
      </c>
      <c r="J105" s="11" t="s">
        <v>724</v>
      </c>
      <c r="K105" s="102" t="s">
        <v>512</v>
      </c>
      <c r="L105" s="98"/>
      <c r="M105" s="98">
        <v>1000</v>
      </c>
      <c r="N105" s="60" t="s">
        <v>513</v>
      </c>
      <c r="O105" s="88"/>
      <c r="P105" s="60" t="s">
        <v>725</v>
      </c>
      <c r="Q105" s="60"/>
      <c r="R105" s="60"/>
      <c r="S105" s="89"/>
      <c r="T105" s="106"/>
      <c r="U105" s="88"/>
      <c r="V105" s="91"/>
      <c r="W105" s="12" t="s">
        <v>515</v>
      </c>
      <c r="X105" s="103"/>
      <c r="Y105" s="6" t="s">
        <v>726</v>
      </c>
      <c r="Z105" s="64" t="s">
        <v>517</v>
      </c>
      <c r="AA105" s="12">
        <v>50</v>
      </c>
      <c r="AB105" s="6" t="s">
        <v>148</v>
      </c>
      <c r="AC105" s="64">
        <v>3060</v>
      </c>
      <c r="AJ105" s="60"/>
      <c r="AK105" s="67" t="s">
        <v>518</v>
      </c>
      <c r="AN105" s="60"/>
      <c r="AO105" s="60"/>
      <c r="AP105" s="60"/>
      <c r="AQ105" s="60"/>
      <c r="AR105" s="72"/>
      <c r="AS105" s="60"/>
      <c r="AT105" s="7"/>
      <c r="AU105" s="7"/>
      <c r="AV105" s="92"/>
      <c r="AW105" s="93"/>
      <c r="AX105" s="77"/>
      <c r="AY105" s="80"/>
      <c r="AZ105" s="94"/>
      <c r="BA105" s="94"/>
      <c r="BB105" s="80" t="s">
        <v>519</v>
      </c>
      <c r="BC105" s="95"/>
      <c r="BD105" s="92"/>
      <c r="BE105" s="92"/>
      <c r="BF105" s="92"/>
      <c r="BG105" s="92"/>
      <c r="BH105" s="92"/>
      <c r="BI105" s="92"/>
      <c r="BJ105" s="92"/>
      <c r="BK105" s="92"/>
      <c r="BL105" s="92"/>
      <c r="BM105" s="92"/>
      <c r="BN105" s="92"/>
      <c r="BO105" s="92"/>
      <c r="BP105" s="92"/>
      <c r="BQ105" s="92"/>
      <c r="BS105" s="6"/>
      <c r="BT105" s="11"/>
      <c r="BU105" s="6"/>
      <c r="BV105" s="6"/>
    </row>
    <row r="106" spans="1:74" ht="15.75" x14ac:dyDescent="0.25">
      <c r="A106" s="50" t="s">
        <v>449</v>
      </c>
      <c r="B106" s="52"/>
      <c r="C106" s="7" t="s">
        <v>118</v>
      </c>
      <c r="D106" s="7" t="s">
        <v>510</v>
      </c>
      <c r="E106" s="7"/>
      <c r="F106" s="55"/>
      <c r="G106" s="6"/>
      <c r="H106" s="6"/>
      <c r="I106" s="10" t="s">
        <v>110</v>
      </c>
      <c r="J106" s="11" t="s">
        <v>727</v>
      </c>
      <c r="K106" s="102" t="s">
        <v>512</v>
      </c>
      <c r="L106" s="98"/>
      <c r="M106" s="98">
        <v>1000</v>
      </c>
      <c r="N106" s="60" t="s">
        <v>513</v>
      </c>
      <c r="O106" s="88"/>
      <c r="P106" s="60" t="s">
        <v>728</v>
      </c>
      <c r="Q106" s="60"/>
      <c r="R106" s="60"/>
      <c r="S106" s="89"/>
      <c r="T106" s="106"/>
      <c r="U106" s="88"/>
      <c r="V106" s="91"/>
      <c r="W106" s="12" t="s">
        <v>515</v>
      </c>
      <c r="X106" s="103"/>
      <c r="Y106" s="6" t="s">
        <v>726</v>
      </c>
      <c r="Z106" s="64" t="s">
        <v>522</v>
      </c>
      <c r="AA106" s="12">
        <v>50</v>
      </c>
      <c r="AB106" s="6" t="s">
        <v>148</v>
      </c>
      <c r="AC106" s="64">
        <v>3084</v>
      </c>
      <c r="AJ106" s="60"/>
      <c r="AK106" s="67" t="s">
        <v>450</v>
      </c>
      <c r="AN106" s="60"/>
      <c r="AO106" s="60"/>
      <c r="AP106" s="60"/>
      <c r="AQ106" s="60"/>
      <c r="AR106" s="72"/>
      <c r="AS106" s="60"/>
      <c r="AT106" s="7"/>
      <c r="AU106" s="7"/>
      <c r="AV106" s="92"/>
      <c r="AW106" s="93"/>
      <c r="AX106" s="77"/>
      <c r="AY106" s="80"/>
      <c r="AZ106" s="94"/>
      <c r="BA106" s="94"/>
      <c r="BB106" s="80" t="s">
        <v>519</v>
      </c>
      <c r="BC106" s="95"/>
      <c r="BD106" s="92"/>
      <c r="BE106" s="92"/>
      <c r="BF106" s="92"/>
      <c r="BG106" s="92"/>
      <c r="BH106" s="92"/>
      <c r="BI106" s="92"/>
      <c r="BJ106" s="92"/>
      <c r="BK106" s="92"/>
      <c r="BL106" s="92"/>
      <c r="BM106" s="92"/>
      <c r="BN106" s="92"/>
      <c r="BO106" s="92"/>
      <c r="BP106" s="92"/>
      <c r="BQ106" s="92"/>
      <c r="BS106" s="6"/>
      <c r="BT106" s="11"/>
      <c r="BU106" s="6"/>
      <c r="BV106" s="6"/>
    </row>
    <row r="107" spans="1:74" ht="15.75" x14ac:dyDescent="0.25">
      <c r="A107" s="50" t="s">
        <v>449</v>
      </c>
      <c r="B107" s="52"/>
      <c r="C107" s="7" t="s">
        <v>118</v>
      </c>
      <c r="D107" s="7" t="s">
        <v>510</v>
      </c>
      <c r="E107" s="7"/>
      <c r="F107" s="55"/>
      <c r="G107" s="6"/>
      <c r="H107" s="6"/>
      <c r="I107" s="10" t="s">
        <v>110</v>
      </c>
      <c r="J107" s="11" t="s">
        <v>729</v>
      </c>
      <c r="K107" s="102" t="s">
        <v>512</v>
      </c>
      <c r="L107" s="98"/>
      <c r="M107" s="98">
        <v>1000</v>
      </c>
      <c r="N107" s="60" t="s">
        <v>513</v>
      </c>
      <c r="O107" s="88"/>
      <c r="P107" s="60" t="s">
        <v>730</v>
      </c>
      <c r="Q107" s="60"/>
      <c r="R107" s="60"/>
      <c r="S107" s="89"/>
      <c r="T107" s="106"/>
      <c r="U107" s="88"/>
      <c r="V107" s="91"/>
      <c r="W107" s="12" t="s">
        <v>515</v>
      </c>
      <c r="X107" s="103"/>
      <c r="Y107" s="6" t="s">
        <v>731</v>
      </c>
      <c r="Z107" s="64" t="s">
        <v>517</v>
      </c>
      <c r="AA107" s="12">
        <v>51</v>
      </c>
      <c r="AB107" s="6" t="s">
        <v>148</v>
      </c>
      <c r="AC107" s="64">
        <v>3060</v>
      </c>
      <c r="AJ107" s="60"/>
      <c r="AK107" s="67" t="s">
        <v>518</v>
      </c>
      <c r="AN107" s="60"/>
      <c r="AO107" s="60"/>
      <c r="AP107" s="60"/>
      <c r="AQ107" s="60"/>
      <c r="AR107" s="72"/>
      <c r="AS107" s="60"/>
      <c r="AT107" s="7"/>
      <c r="AU107" s="7"/>
      <c r="AV107" s="92"/>
      <c r="AW107" s="93"/>
      <c r="AX107" s="77"/>
      <c r="AY107" s="80"/>
      <c r="AZ107" s="94"/>
      <c r="BA107" s="94"/>
      <c r="BB107" s="80" t="s">
        <v>519</v>
      </c>
      <c r="BC107" s="95"/>
      <c r="BD107" s="92"/>
      <c r="BE107" s="92"/>
      <c r="BF107" s="92"/>
      <c r="BG107" s="92"/>
      <c r="BH107" s="92"/>
      <c r="BI107" s="92"/>
      <c r="BJ107" s="92"/>
      <c r="BK107" s="92"/>
      <c r="BL107" s="92"/>
      <c r="BM107" s="92"/>
      <c r="BN107" s="92"/>
      <c r="BO107" s="92"/>
      <c r="BP107" s="92"/>
      <c r="BQ107" s="92"/>
      <c r="BS107" s="6"/>
      <c r="BT107" s="11"/>
      <c r="BU107" s="6"/>
      <c r="BV107" s="6"/>
    </row>
    <row r="108" spans="1:74" ht="15.75" x14ac:dyDescent="0.25">
      <c r="A108" s="50" t="s">
        <v>449</v>
      </c>
      <c r="B108" s="52"/>
      <c r="C108" s="7" t="s">
        <v>118</v>
      </c>
      <c r="D108" s="7" t="s">
        <v>510</v>
      </c>
      <c r="E108" s="7"/>
      <c r="F108" s="55"/>
      <c r="G108" s="6"/>
      <c r="H108" s="6"/>
      <c r="I108" s="10" t="s">
        <v>110</v>
      </c>
      <c r="J108" s="11" t="s">
        <v>732</v>
      </c>
      <c r="K108" s="102" t="s">
        <v>512</v>
      </c>
      <c r="L108" s="98"/>
      <c r="M108" s="98">
        <v>1000</v>
      </c>
      <c r="N108" s="60" t="s">
        <v>513</v>
      </c>
      <c r="O108" s="88"/>
      <c r="P108" s="60" t="s">
        <v>733</v>
      </c>
      <c r="Q108" s="60"/>
      <c r="R108" s="60"/>
      <c r="S108" s="89"/>
      <c r="T108" s="106"/>
      <c r="U108" s="88"/>
      <c r="V108" s="91"/>
      <c r="W108" s="12" t="s">
        <v>515</v>
      </c>
      <c r="X108" s="103"/>
      <c r="Y108" s="6" t="s">
        <v>731</v>
      </c>
      <c r="Z108" s="64" t="s">
        <v>522</v>
      </c>
      <c r="AA108" s="12">
        <v>51</v>
      </c>
      <c r="AB108" s="6" t="s">
        <v>148</v>
      </c>
      <c r="AC108" s="64">
        <v>3084</v>
      </c>
      <c r="AJ108" s="60"/>
      <c r="AK108" s="67" t="s">
        <v>450</v>
      </c>
      <c r="AN108" s="60"/>
      <c r="AO108" s="60"/>
      <c r="AP108" s="60"/>
      <c r="AQ108" s="60"/>
      <c r="AR108" s="72"/>
      <c r="AS108" s="60"/>
      <c r="AT108" s="7"/>
      <c r="AU108" s="7"/>
      <c r="AV108" s="92"/>
      <c r="AW108" s="93"/>
      <c r="AX108" s="77"/>
      <c r="AY108" s="80"/>
      <c r="AZ108" s="94"/>
      <c r="BA108" s="94"/>
      <c r="BB108" s="80" t="s">
        <v>519</v>
      </c>
      <c r="BC108" s="95"/>
      <c r="BD108" s="92"/>
      <c r="BE108" s="92"/>
      <c r="BF108" s="92"/>
      <c r="BG108" s="92"/>
      <c r="BH108" s="92"/>
      <c r="BI108" s="92"/>
      <c r="BJ108" s="92"/>
      <c r="BK108" s="92"/>
      <c r="BL108" s="92"/>
      <c r="BM108" s="92"/>
      <c r="BN108" s="92"/>
      <c r="BO108" s="92"/>
      <c r="BP108" s="92"/>
      <c r="BQ108" s="92"/>
      <c r="BS108" s="6"/>
      <c r="BT108" s="11"/>
      <c r="BU108" s="6"/>
      <c r="BV108" s="6"/>
    </row>
    <row r="109" spans="1:74" ht="15.75" x14ac:dyDescent="0.25">
      <c r="A109" s="50" t="s">
        <v>449</v>
      </c>
      <c r="B109" s="52"/>
      <c r="C109" s="7" t="s">
        <v>118</v>
      </c>
      <c r="D109" s="7" t="s">
        <v>510</v>
      </c>
      <c r="E109" s="7"/>
      <c r="F109" s="55"/>
      <c r="G109" s="6"/>
      <c r="H109" s="6"/>
      <c r="I109" s="10" t="s">
        <v>110</v>
      </c>
      <c r="J109" s="11" t="s">
        <v>734</v>
      </c>
      <c r="K109" s="102" t="s">
        <v>512</v>
      </c>
      <c r="L109" s="98"/>
      <c r="M109" s="98">
        <v>1000</v>
      </c>
      <c r="N109" s="60" t="s">
        <v>513</v>
      </c>
      <c r="O109" s="88"/>
      <c r="P109" s="60" t="s">
        <v>735</v>
      </c>
      <c r="Q109" s="60"/>
      <c r="R109" s="60"/>
      <c r="S109" s="89"/>
      <c r="T109" s="106"/>
      <c r="U109" s="88"/>
      <c r="V109" s="91"/>
      <c r="W109" s="12" t="s">
        <v>515</v>
      </c>
      <c r="X109" s="103"/>
      <c r="Y109" s="6" t="s">
        <v>736</v>
      </c>
      <c r="Z109" s="64" t="s">
        <v>517</v>
      </c>
      <c r="AA109" s="12">
        <v>52</v>
      </c>
      <c r="AB109" s="6" t="s">
        <v>148</v>
      </c>
      <c r="AC109" s="64">
        <v>3060</v>
      </c>
      <c r="AJ109" s="60"/>
      <c r="AK109" s="67" t="s">
        <v>518</v>
      </c>
      <c r="AN109" s="60"/>
      <c r="AO109" s="60"/>
      <c r="AP109" s="60"/>
      <c r="AQ109" s="60"/>
      <c r="AR109" s="72"/>
      <c r="AS109" s="60"/>
      <c r="AT109" s="7"/>
      <c r="AU109" s="7"/>
      <c r="AV109" s="92"/>
      <c r="AW109" s="93"/>
      <c r="AX109" s="77"/>
      <c r="AY109" s="80"/>
      <c r="AZ109" s="94"/>
      <c r="BA109" s="94"/>
      <c r="BB109" s="80" t="s">
        <v>519</v>
      </c>
      <c r="BC109" s="95"/>
      <c r="BD109" s="92"/>
      <c r="BE109" s="92"/>
      <c r="BF109" s="92"/>
      <c r="BG109" s="92"/>
      <c r="BH109" s="92"/>
      <c r="BI109" s="92"/>
      <c r="BJ109" s="92"/>
      <c r="BK109" s="92"/>
      <c r="BL109" s="92"/>
      <c r="BM109" s="92"/>
      <c r="BN109" s="92"/>
      <c r="BO109" s="92"/>
      <c r="BP109" s="92"/>
      <c r="BQ109" s="92"/>
      <c r="BS109" s="6"/>
      <c r="BT109" s="11"/>
      <c r="BU109" s="6"/>
      <c r="BV109" s="6"/>
    </row>
    <row r="110" spans="1:74" ht="15.75" x14ac:dyDescent="0.25">
      <c r="A110" s="50" t="s">
        <v>449</v>
      </c>
      <c r="B110" s="52"/>
      <c r="C110" s="7" t="s">
        <v>118</v>
      </c>
      <c r="D110" s="7" t="s">
        <v>510</v>
      </c>
      <c r="E110" s="7"/>
      <c r="F110" s="55"/>
      <c r="G110" s="6"/>
      <c r="H110" s="6"/>
      <c r="I110" s="10" t="s">
        <v>110</v>
      </c>
      <c r="J110" s="11" t="s">
        <v>737</v>
      </c>
      <c r="K110" s="102" t="s">
        <v>512</v>
      </c>
      <c r="L110" s="98"/>
      <c r="M110" s="98">
        <v>1000</v>
      </c>
      <c r="N110" s="60" t="s">
        <v>513</v>
      </c>
      <c r="O110" s="88"/>
      <c r="P110" s="60" t="s">
        <v>738</v>
      </c>
      <c r="Q110" s="60"/>
      <c r="R110" s="60"/>
      <c r="S110" s="89"/>
      <c r="T110" s="106"/>
      <c r="U110" s="88"/>
      <c r="V110" s="91"/>
      <c r="W110" s="12" t="s">
        <v>515</v>
      </c>
      <c r="X110" s="103"/>
      <c r="Y110" s="6" t="s">
        <v>736</v>
      </c>
      <c r="Z110" s="64" t="s">
        <v>522</v>
      </c>
      <c r="AA110" s="12">
        <v>52</v>
      </c>
      <c r="AB110" s="6" t="s">
        <v>148</v>
      </c>
      <c r="AC110" s="64">
        <v>3084</v>
      </c>
      <c r="AJ110" s="60"/>
      <c r="AK110" s="67" t="s">
        <v>450</v>
      </c>
      <c r="AN110" s="60"/>
      <c r="AO110" s="60"/>
      <c r="AP110" s="60"/>
      <c r="AQ110" s="60"/>
      <c r="AR110" s="72"/>
      <c r="AS110" s="60"/>
      <c r="AT110" s="7"/>
      <c r="AU110" s="7"/>
      <c r="AV110" s="92"/>
      <c r="AW110" s="93"/>
      <c r="AX110" s="77"/>
      <c r="AY110" s="80"/>
      <c r="AZ110" s="94"/>
      <c r="BA110" s="94"/>
      <c r="BB110" s="80" t="s">
        <v>519</v>
      </c>
      <c r="BC110" s="95"/>
      <c r="BD110" s="92"/>
      <c r="BE110" s="92"/>
      <c r="BF110" s="92"/>
      <c r="BG110" s="92"/>
      <c r="BH110" s="92"/>
      <c r="BI110" s="92"/>
      <c r="BJ110" s="92"/>
      <c r="BK110" s="92"/>
      <c r="BL110" s="92"/>
      <c r="BM110" s="92"/>
      <c r="BN110" s="92"/>
      <c r="BO110" s="92"/>
      <c r="BP110" s="92"/>
      <c r="BQ110" s="92"/>
      <c r="BS110" s="6"/>
      <c r="BT110" s="11"/>
      <c r="BU110" s="6"/>
      <c r="BV110" s="6"/>
    </row>
    <row r="111" spans="1:74" ht="15.75" x14ac:dyDescent="0.25">
      <c r="A111" s="50" t="s">
        <v>449</v>
      </c>
      <c r="B111" s="52"/>
      <c r="C111" s="7" t="s">
        <v>118</v>
      </c>
      <c r="D111" s="7" t="s">
        <v>510</v>
      </c>
      <c r="E111" s="7"/>
      <c r="F111" s="55"/>
      <c r="G111" s="6"/>
      <c r="H111" s="6"/>
      <c r="I111" s="10" t="s">
        <v>110</v>
      </c>
      <c r="J111" s="11" t="s">
        <v>739</v>
      </c>
      <c r="K111" s="102" t="s">
        <v>512</v>
      </c>
      <c r="L111" s="98"/>
      <c r="M111" s="98">
        <v>1000</v>
      </c>
      <c r="N111" s="60" t="s">
        <v>513</v>
      </c>
      <c r="O111" s="88"/>
      <c r="P111" s="60" t="s">
        <v>740</v>
      </c>
      <c r="Q111" s="60"/>
      <c r="R111" s="60"/>
      <c r="S111" s="89"/>
      <c r="T111" s="106"/>
      <c r="U111" s="88"/>
      <c r="V111" s="91"/>
      <c r="W111" s="12" t="s">
        <v>515</v>
      </c>
      <c r="X111" s="103"/>
      <c r="Y111" s="6" t="s">
        <v>741</v>
      </c>
      <c r="Z111" s="64" t="s">
        <v>517</v>
      </c>
      <c r="AA111" s="12">
        <v>53</v>
      </c>
      <c r="AB111" s="6" t="s">
        <v>148</v>
      </c>
      <c r="AC111" s="64">
        <v>3060</v>
      </c>
      <c r="AJ111" s="60"/>
      <c r="AK111" s="67" t="s">
        <v>518</v>
      </c>
      <c r="AN111" s="60"/>
      <c r="AO111" s="60"/>
      <c r="AP111" s="60"/>
      <c r="AQ111" s="60"/>
      <c r="AR111" s="72"/>
      <c r="AS111" s="60"/>
      <c r="AT111" s="7"/>
      <c r="AU111" s="7"/>
      <c r="AV111" s="92"/>
      <c r="AW111" s="93"/>
      <c r="AX111" s="77"/>
      <c r="AY111" s="80"/>
      <c r="AZ111" s="94"/>
      <c r="BA111" s="94"/>
      <c r="BB111" s="80" t="s">
        <v>519</v>
      </c>
      <c r="BC111" s="95"/>
      <c r="BD111" s="92"/>
      <c r="BE111" s="92"/>
      <c r="BF111" s="92"/>
      <c r="BG111" s="92"/>
      <c r="BH111" s="92"/>
      <c r="BI111" s="92"/>
      <c r="BJ111" s="92"/>
      <c r="BK111" s="92"/>
      <c r="BL111" s="92"/>
      <c r="BM111" s="92"/>
      <c r="BN111" s="92"/>
      <c r="BO111" s="92"/>
      <c r="BP111" s="92"/>
      <c r="BQ111" s="92"/>
      <c r="BS111" s="6"/>
      <c r="BT111" s="11"/>
      <c r="BU111" s="6"/>
      <c r="BV111" s="6"/>
    </row>
    <row r="112" spans="1:74" ht="15.75" x14ac:dyDescent="0.25">
      <c r="A112" s="50" t="s">
        <v>449</v>
      </c>
      <c r="B112" s="52"/>
      <c r="C112" s="7" t="s">
        <v>118</v>
      </c>
      <c r="D112" s="7" t="s">
        <v>510</v>
      </c>
      <c r="E112" s="7"/>
      <c r="F112" s="55"/>
      <c r="G112" s="6"/>
      <c r="H112" s="6"/>
      <c r="I112" s="10" t="s">
        <v>110</v>
      </c>
      <c r="J112" s="11" t="s">
        <v>742</v>
      </c>
      <c r="K112" s="102" t="s">
        <v>512</v>
      </c>
      <c r="L112" s="98"/>
      <c r="M112" s="98">
        <v>1000</v>
      </c>
      <c r="N112" s="60" t="s">
        <v>513</v>
      </c>
      <c r="O112" s="88"/>
      <c r="P112" s="60" t="s">
        <v>743</v>
      </c>
      <c r="Q112" s="60"/>
      <c r="R112" s="60"/>
      <c r="S112" s="89"/>
      <c r="T112" s="106"/>
      <c r="U112" s="88"/>
      <c r="V112" s="91"/>
      <c r="W112" s="12" t="s">
        <v>515</v>
      </c>
      <c r="X112" s="103"/>
      <c r="Y112" s="6" t="s">
        <v>741</v>
      </c>
      <c r="Z112" s="64" t="s">
        <v>522</v>
      </c>
      <c r="AA112" s="12">
        <v>53</v>
      </c>
      <c r="AB112" s="6" t="s">
        <v>148</v>
      </c>
      <c r="AC112" s="64">
        <v>3084</v>
      </c>
      <c r="AJ112" s="60"/>
      <c r="AK112" s="67" t="s">
        <v>450</v>
      </c>
      <c r="AN112" s="60"/>
      <c r="AO112" s="60"/>
      <c r="AP112" s="60"/>
      <c r="AQ112" s="60"/>
      <c r="AR112" s="72"/>
      <c r="AS112" s="60"/>
      <c r="AT112" s="7"/>
      <c r="AU112" s="7"/>
      <c r="AV112" s="92"/>
      <c r="AW112" s="93"/>
      <c r="AX112" s="77"/>
      <c r="AY112" s="80"/>
      <c r="AZ112" s="94"/>
      <c r="BA112" s="94"/>
      <c r="BB112" s="80" t="s">
        <v>519</v>
      </c>
      <c r="BC112" s="95"/>
      <c r="BD112" s="92"/>
      <c r="BE112" s="92"/>
      <c r="BF112" s="92"/>
      <c r="BG112" s="92"/>
      <c r="BH112" s="92"/>
      <c r="BI112" s="92"/>
      <c r="BJ112" s="92"/>
      <c r="BK112" s="92"/>
      <c r="BL112" s="92"/>
      <c r="BM112" s="92"/>
      <c r="BN112" s="92"/>
      <c r="BO112" s="92"/>
      <c r="BP112" s="92"/>
      <c r="BQ112" s="92"/>
      <c r="BS112" s="6"/>
      <c r="BT112" s="11"/>
      <c r="BU112" s="6"/>
      <c r="BV112" s="6"/>
    </row>
    <row r="113" spans="1:74" ht="15.75" x14ac:dyDescent="0.25">
      <c r="A113" s="50" t="s">
        <v>449</v>
      </c>
      <c r="B113" s="52"/>
      <c r="C113" s="7" t="s">
        <v>118</v>
      </c>
      <c r="D113" s="7" t="s">
        <v>510</v>
      </c>
      <c r="E113" s="7"/>
      <c r="F113" s="55"/>
      <c r="G113" s="6"/>
      <c r="H113" s="6"/>
      <c r="I113" s="10" t="s">
        <v>110</v>
      </c>
      <c r="J113" s="11" t="s">
        <v>744</v>
      </c>
      <c r="K113" s="102" t="s">
        <v>512</v>
      </c>
      <c r="L113" s="98"/>
      <c r="M113" s="98">
        <v>1000</v>
      </c>
      <c r="N113" s="60" t="s">
        <v>513</v>
      </c>
      <c r="O113" s="88"/>
      <c r="P113" s="60" t="s">
        <v>745</v>
      </c>
      <c r="Q113" s="60"/>
      <c r="R113" s="60"/>
      <c r="S113" s="89"/>
      <c r="T113" s="106"/>
      <c r="U113" s="88"/>
      <c r="V113" s="91"/>
      <c r="W113" s="12" t="s">
        <v>515</v>
      </c>
      <c r="X113" s="103"/>
      <c r="Y113" s="6" t="s">
        <v>746</v>
      </c>
      <c r="Z113" s="64" t="s">
        <v>517</v>
      </c>
      <c r="AA113" s="12">
        <v>54</v>
      </c>
      <c r="AB113" s="6" t="s">
        <v>148</v>
      </c>
      <c r="AC113" s="64">
        <v>3060</v>
      </c>
      <c r="AJ113" s="60"/>
      <c r="AK113" s="67" t="s">
        <v>518</v>
      </c>
      <c r="AN113" s="60"/>
      <c r="AO113" s="60"/>
      <c r="AP113" s="60"/>
      <c r="AQ113" s="60"/>
      <c r="AR113" s="72"/>
      <c r="AS113" s="60"/>
      <c r="AT113" s="7"/>
      <c r="AU113" s="7"/>
      <c r="AV113" s="92"/>
      <c r="AW113" s="93"/>
      <c r="AX113" s="77"/>
      <c r="AY113" s="80"/>
      <c r="AZ113" s="94"/>
      <c r="BA113" s="94"/>
      <c r="BB113" s="80" t="s">
        <v>519</v>
      </c>
      <c r="BC113" s="95"/>
      <c r="BD113" s="92"/>
      <c r="BE113" s="92"/>
      <c r="BF113" s="92"/>
      <c r="BG113" s="92"/>
      <c r="BH113" s="92"/>
      <c r="BI113" s="92"/>
      <c r="BJ113" s="92"/>
      <c r="BK113" s="92"/>
      <c r="BL113" s="92"/>
      <c r="BM113" s="92"/>
      <c r="BN113" s="92"/>
      <c r="BO113" s="92"/>
      <c r="BP113" s="92"/>
      <c r="BQ113" s="92"/>
      <c r="BS113" s="6"/>
      <c r="BT113" s="11"/>
      <c r="BU113" s="6"/>
      <c r="BV113" s="6"/>
    </row>
    <row r="114" spans="1:74" ht="15.75" x14ac:dyDescent="0.25">
      <c r="A114" s="50" t="s">
        <v>449</v>
      </c>
      <c r="B114" s="52"/>
      <c r="C114" s="7" t="s">
        <v>118</v>
      </c>
      <c r="D114" s="7" t="s">
        <v>510</v>
      </c>
      <c r="E114" s="7"/>
      <c r="F114" s="55"/>
      <c r="G114" s="6"/>
      <c r="H114" s="6"/>
      <c r="I114" s="10" t="s">
        <v>110</v>
      </c>
      <c r="J114" s="11" t="s">
        <v>747</v>
      </c>
      <c r="K114" s="102" t="s">
        <v>512</v>
      </c>
      <c r="L114" s="98"/>
      <c r="M114" s="98">
        <v>1000</v>
      </c>
      <c r="N114" s="60" t="s">
        <v>513</v>
      </c>
      <c r="O114" s="88"/>
      <c r="P114" s="60" t="s">
        <v>748</v>
      </c>
      <c r="Q114" s="60"/>
      <c r="R114" s="60"/>
      <c r="S114" s="89"/>
      <c r="T114" s="106"/>
      <c r="U114" s="88"/>
      <c r="V114" s="91"/>
      <c r="W114" s="12" t="s">
        <v>515</v>
      </c>
      <c r="X114" s="103"/>
      <c r="Y114" s="6" t="s">
        <v>746</v>
      </c>
      <c r="Z114" s="64" t="s">
        <v>522</v>
      </c>
      <c r="AA114" s="12">
        <v>54</v>
      </c>
      <c r="AB114" s="6" t="s">
        <v>148</v>
      </c>
      <c r="AC114" s="64">
        <v>3084</v>
      </c>
      <c r="AJ114" s="60"/>
      <c r="AK114" s="67" t="s">
        <v>450</v>
      </c>
      <c r="AN114" s="60"/>
      <c r="AO114" s="60"/>
      <c r="AP114" s="60"/>
      <c r="AQ114" s="60"/>
      <c r="AR114" s="72"/>
      <c r="AS114" s="60"/>
      <c r="AT114" s="7"/>
      <c r="AU114" s="7"/>
      <c r="AV114" s="92"/>
      <c r="AW114" s="93"/>
      <c r="AX114" s="77"/>
      <c r="AY114" s="80"/>
      <c r="AZ114" s="94"/>
      <c r="BA114" s="94"/>
      <c r="BB114" s="80" t="s">
        <v>519</v>
      </c>
      <c r="BC114" s="95"/>
      <c r="BD114" s="92"/>
      <c r="BE114" s="92"/>
      <c r="BF114" s="92"/>
      <c r="BG114" s="92"/>
      <c r="BH114" s="92"/>
      <c r="BI114" s="92"/>
      <c r="BJ114" s="92"/>
      <c r="BK114" s="92"/>
      <c r="BL114" s="92"/>
      <c r="BM114" s="92"/>
      <c r="BN114" s="92"/>
      <c r="BO114" s="92"/>
      <c r="BP114" s="92"/>
      <c r="BQ114" s="92"/>
      <c r="BS114" s="6"/>
      <c r="BT114" s="11"/>
      <c r="BU114" s="6"/>
      <c r="BV114" s="6"/>
    </row>
    <row r="115" spans="1:74" ht="15.75" x14ac:dyDescent="0.25">
      <c r="A115" s="50" t="s">
        <v>449</v>
      </c>
      <c r="B115" s="52"/>
      <c r="C115" s="7" t="s">
        <v>118</v>
      </c>
      <c r="D115" s="7" t="s">
        <v>510</v>
      </c>
      <c r="E115" s="7"/>
      <c r="F115" s="55"/>
      <c r="G115" s="6"/>
      <c r="H115" s="6"/>
      <c r="I115" s="10" t="s">
        <v>110</v>
      </c>
      <c r="J115" s="11" t="s">
        <v>749</v>
      </c>
      <c r="K115" s="102" t="s">
        <v>512</v>
      </c>
      <c r="L115" s="98"/>
      <c r="M115" s="98">
        <v>1000</v>
      </c>
      <c r="N115" s="60" t="s">
        <v>513</v>
      </c>
      <c r="O115" s="88"/>
      <c r="P115" s="60" t="s">
        <v>750</v>
      </c>
      <c r="Q115" s="60"/>
      <c r="R115" s="60"/>
      <c r="S115" s="89"/>
      <c r="T115" s="106"/>
      <c r="U115" s="88"/>
      <c r="V115" s="91"/>
      <c r="W115" s="12" t="s">
        <v>515</v>
      </c>
      <c r="X115" s="103"/>
      <c r="Y115" s="6" t="s">
        <v>751</v>
      </c>
      <c r="Z115" s="64" t="s">
        <v>517</v>
      </c>
      <c r="AA115" s="12">
        <v>55</v>
      </c>
      <c r="AB115" s="6" t="s">
        <v>148</v>
      </c>
      <c r="AC115" s="64">
        <v>3060</v>
      </c>
      <c r="AJ115" s="60"/>
      <c r="AK115" s="67" t="s">
        <v>518</v>
      </c>
      <c r="AN115" s="60"/>
      <c r="AO115" s="60"/>
      <c r="AP115" s="60"/>
      <c r="AQ115" s="60"/>
      <c r="AR115" s="72"/>
      <c r="AS115" s="60"/>
      <c r="AT115" s="7"/>
      <c r="AU115" s="7"/>
      <c r="AV115" s="92"/>
      <c r="AW115" s="93"/>
      <c r="AX115" s="77"/>
      <c r="AY115" s="80"/>
      <c r="AZ115" s="94"/>
      <c r="BA115" s="94"/>
      <c r="BB115" s="80" t="s">
        <v>519</v>
      </c>
      <c r="BC115" s="95"/>
      <c r="BD115" s="92"/>
      <c r="BE115" s="92"/>
      <c r="BF115" s="92"/>
      <c r="BG115" s="92"/>
      <c r="BH115" s="92"/>
      <c r="BI115" s="92"/>
      <c r="BJ115" s="92"/>
      <c r="BK115" s="92"/>
      <c r="BL115" s="92"/>
      <c r="BM115" s="92"/>
      <c r="BN115" s="92"/>
      <c r="BO115" s="92"/>
      <c r="BP115" s="92"/>
      <c r="BQ115" s="92"/>
      <c r="BS115" s="6"/>
      <c r="BT115" s="11"/>
      <c r="BU115" s="6"/>
      <c r="BV115" s="6"/>
    </row>
    <row r="116" spans="1:74" ht="15.75" x14ac:dyDescent="0.25">
      <c r="A116" s="50" t="s">
        <v>449</v>
      </c>
      <c r="B116" s="52"/>
      <c r="C116" s="7" t="s">
        <v>118</v>
      </c>
      <c r="D116" s="7" t="s">
        <v>510</v>
      </c>
      <c r="E116" s="7"/>
      <c r="F116" s="55"/>
      <c r="G116" s="6"/>
      <c r="H116" s="6"/>
      <c r="I116" s="10" t="s">
        <v>110</v>
      </c>
      <c r="J116" s="11" t="s">
        <v>752</v>
      </c>
      <c r="K116" s="102" t="s">
        <v>512</v>
      </c>
      <c r="L116" s="98"/>
      <c r="M116" s="98">
        <v>1000</v>
      </c>
      <c r="N116" s="60" t="s">
        <v>513</v>
      </c>
      <c r="O116" s="88"/>
      <c r="P116" s="60" t="s">
        <v>753</v>
      </c>
      <c r="Q116" s="60"/>
      <c r="R116" s="60"/>
      <c r="S116" s="89"/>
      <c r="T116" s="106"/>
      <c r="U116" s="88"/>
      <c r="V116" s="91"/>
      <c r="W116" s="12" t="s">
        <v>515</v>
      </c>
      <c r="X116" s="103"/>
      <c r="Y116" s="6" t="s">
        <v>751</v>
      </c>
      <c r="Z116" s="64" t="s">
        <v>522</v>
      </c>
      <c r="AA116" s="12">
        <v>55</v>
      </c>
      <c r="AB116" s="6" t="s">
        <v>148</v>
      </c>
      <c r="AC116" s="64">
        <v>3084</v>
      </c>
      <c r="AJ116" s="60"/>
      <c r="AK116" s="67" t="s">
        <v>450</v>
      </c>
      <c r="AN116" s="60"/>
      <c r="AO116" s="60"/>
      <c r="AP116" s="60"/>
      <c r="AQ116" s="60"/>
      <c r="AR116" s="72"/>
      <c r="AS116" s="60"/>
      <c r="AT116" s="7"/>
      <c r="AU116" s="7"/>
      <c r="AV116" s="92"/>
      <c r="AW116" s="93"/>
      <c r="AX116" s="77"/>
      <c r="AY116" s="80"/>
      <c r="AZ116" s="94"/>
      <c r="BA116" s="94"/>
      <c r="BB116" s="80" t="s">
        <v>519</v>
      </c>
      <c r="BC116" s="95"/>
      <c r="BD116" s="92"/>
      <c r="BE116" s="92"/>
      <c r="BF116" s="92"/>
      <c r="BG116" s="92"/>
      <c r="BH116" s="92"/>
      <c r="BI116" s="92"/>
      <c r="BJ116" s="92"/>
      <c r="BK116" s="92"/>
      <c r="BL116" s="92"/>
      <c r="BM116" s="92"/>
      <c r="BN116" s="92"/>
      <c r="BO116" s="92"/>
      <c r="BP116" s="92"/>
      <c r="BQ116" s="92"/>
      <c r="BS116" s="6"/>
      <c r="BT116" s="11"/>
      <c r="BU116" s="6"/>
      <c r="BV116" s="6"/>
    </row>
    <row r="117" spans="1:74" ht="15.75" x14ac:dyDescent="0.25">
      <c r="A117" s="50" t="s">
        <v>449</v>
      </c>
      <c r="B117" s="52"/>
      <c r="C117" s="7" t="s">
        <v>118</v>
      </c>
      <c r="D117" s="7" t="s">
        <v>510</v>
      </c>
      <c r="E117" s="7"/>
      <c r="F117" s="55"/>
      <c r="G117" s="6"/>
      <c r="H117" s="6"/>
      <c r="I117" s="10" t="s">
        <v>110</v>
      </c>
      <c r="J117" s="11" t="s">
        <v>754</v>
      </c>
      <c r="K117" s="102" t="s">
        <v>512</v>
      </c>
      <c r="L117" s="98"/>
      <c r="M117" s="98">
        <v>1000</v>
      </c>
      <c r="N117" s="60" t="s">
        <v>513</v>
      </c>
      <c r="O117" s="88"/>
      <c r="P117" s="60" t="s">
        <v>755</v>
      </c>
      <c r="Q117" s="60"/>
      <c r="R117" s="60"/>
      <c r="S117" s="89"/>
      <c r="T117" s="106"/>
      <c r="U117" s="88"/>
      <c r="V117" s="91"/>
      <c r="W117" s="12" t="s">
        <v>515</v>
      </c>
      <c r="X117" s="103"/>
      <c r="Y117" s="6" t="s">
        <v>756</v>
      </c>
      <c r="Z117" s="64" t="s">
        <v>517</v>
      </c>
      <c r="AA117" s="12">
        <v>56</v>
      </c>
      <c r="AB117" s="6" t="s">
        <v>148</v>
      </c>
      <c r="AC117" s="64">
        <v>3060</v>
      </c>
      <c r="AJ117" s="60"/>
      <c r="AK117" s="67" t="s">
        <v>518</v>
      </c>
      <c r="AN117" s="60"/>
      <c r="AO117" s="60"/>
      <c r="AP117" s="60"/>
      <c r="AQ117" s="60"/>
      <c r="AR117" s="72"/>
      <c r="AS117" s="60"/>
      <c r="AT117" s="7"/>
      <c r="AU117" s="7"/>
      <c r="AV117" s="92"/>
      <c r="AW117" s="93"/>
      <c r="AX117" s="77"/>
      <c r="AY117" s="80"/>
      <c r="AZ117" s="94"/>
      <c r="BA117" s="94"/>
      <c r="BB117" s="80" t="s">
        <v>519</v>
      </c>
      <c r="BC117" s="95"/>
      <c r="BD117" s="92"/>
      <c r="BE117" s="92"/>
      <c r="BF117" s="92"/>
      <c r="BG117" s="92"/>
      <c r="BH117" s="92"/>
      <c r="BI117" s="92"/>
      <c r="BJ117" s="92"/>
      <c r="BK117" s="92"/>
      <c r="BL117" s="92"/>
      <c r="BM117" s="92"/>
      <c r="BN117" s="92"/>
      <c r="BO117" s="92"/>
      <c r="BP117" s="92"/>
      <c r="BQ117" s="92"/>
      <c r="BS117" s="6"/>
      <c r="BT117" s="11"/>
      <c r="BU117" s="6"/>
      <c r="BV117" s="6"/>
    </row>
    <row r="118" spans="1:74" ht="15.75" x14ac:dyDescent="0.25">
      <c r="A118" s="50" t="s">
        <v>449</v>
      </c>
      <c r="B118" s="52"/>
      <c r="C118" s="7" t="s">
        <v>118</v>
      </c>
      <c r="D118" s="7" t="s">
        <v>510</v>
      </c>
      <c r="E118" s="7"/>
      <c r="F118" s="55"/>
      <c r="G118" s="6"/>
      <c r="H118" s="6"/>
      <c r="I118" s="10" t="s">
        <v>110</v>
      </c>
      <c r="J118" s="11" t="s">
        <v>757</v>
      </c>
      <c r="K118" s="102" t="s">
        <v>512</v>
      </c>
      <c r="L118" s="98"/>
      <c r="M118" s="98">
        <v>1000</v>
      </c>
      <c r="N118" s="60" t="s">
        <v>513</v>
      </c>
      <c r="O118" s="88"/>
      <c r="P118" s="60" t="s">
        <v>758</v>
      </c>
      <c r="Q118" s="60"/>
      <c r="R118" s="60"/>
      <c r="S118" s="89"/>
      <c r="T118" s="106"/>
      <c r="U118" s="88"/>
      <c r="V118" s="91"/>
      <c r="W118" s="12" t="s">
        <v>515</v>
      </c>
      <c r="X118" s="103"/>
      <c r="Y118" s="6" t="s">
        <v>756</v>
      </c>
      <c r="Z118" s="64" t="s">
        <v>522</v>
      </c>
      <c r="AA118" s="12">
        <v>56</v>
      </c>
      <c r="AB118" s="6" t="s">
        <v>148</v>
      </c>
      <c r="AC118" s="64">
        <v>3084</v>
      </c>
      <c r="AJ118" s="60"/>
      <c r="AK118" s="67" t="s">
        <v>450</v>
      </c>
      <c r="AN118" s="60"/>
      <c r="AO118" s="60"/>
      <c r="AP118" s="60"/>
      <c r="AQ118" s="60"/>
      <c r="AR118" s="72"/>
      <c r="AS118" s="60"/>
      <c r="AT118" s="7"/>
      <c r="AU118" s="7"/>
      <c r="AV118" s="92"/>
      <c r="AW118" s="93"/>
      <c r="AX118" s="77"/>
      <c r="AY118" s="80"/>
      <c r="AZ118" s="94"/>
      <c r="BA118" s="94"/>
      <c r="BB118" s="80" t="s">
        <v>519</v>
      </c>
      <c r="BC118" s="95"/>
      <c r="BD118" s="92"/>
      <c r="BE118" s="92"/>
      <c r="BF118" s="92"/>
      <c r="BG118" s="92"/>
      <c r="BH118" s="92"/>
      <c r="BI118" s="92"/>
      <c r="BJ118" s="92"/>
      <c r="BK118" s="92"/>
      <c r="BL118" s="92"/>
      <c r="BM118" s="92"/>
      <c r="BN118" s="92"/>
      <c r="BO118" s="92"/>
      <c r="BP118" s="92"/>
      <c r="BQ118" s="92"/>
      <c r="BS118" s="6"/>
      <c r="BT118" s="11"/>
      <c r="BU118" s="6"/>
      <c r="BV118" s="6"/>
    </row>
    <row r="119" spans="1:74" ht="15.75" x14ac:dyDescent="0.25">
      <c r="A119" s="50" t="s">
        <v>449</v>
      </c>
      <c r="B119" s="52"/>
      <c r="C119" s="7" t="s">
        <v>118</v>
      </c>
      <c r="D119" s="7" t="s">
        <v>510</v>
      </c>
      <c r="E119" s="7"/>
      <c r="F119" s="55"/>
      <c r="G119" s="6"/>
      <c r="H119" s="6"/>
      <c r="I119" s="10" t="s">
        <v>110</v>
      </c>
      <c r="J119" s="11" t="s">
        <v>759</v>
      </c>
      <c r="K119" s="102" t="s">
        <v>512</v>
      </c>
      <c r="L119" s="98"/>
      <c r="M119" s="98">
        <v>1000</v>
      </c>
      <c r="N119" s="60" t="s">
        <v>513</v>
      </c>
      <c r="O119" s="88"/>
      <c r="P119" s="60" t="s">
        <v>760</v>
      </c>
      <c r="Q119" s="60"/>
      <c r="R119" s="60"/>
      <c r="S119" s="89"/>
      <c r="T119" s="106"/>
      <c r="U119" s="88"/>
      <c r="V119" s="91"/>
      <c r="W119" s="12" t="s">
        <v>515</v>
      </c>
      <c r="X119" s="103"/>
      <c r="Y119" s="6" t="s">
        <v>761</v>
      </c>
      <c r="Z119" s="64" t="s">
        <v>517</v>
      </c>
      <c r="AA119" s="12">
        <v>58</v>
      </c>
      <c r="AB119" s="6" t="s">
        <v>148</v>
      </c>
      <c r="AC119" s="64">
        <v>3060</v>
      </c>
      <c r="AJ119" s="60"/>
      <c r="AK119" s="67" t="s">
        <v>518</v>
      </c>
      <c r="AN119" s="60"/>
      <c r="AO119" s="60"/>
      <c r="AP119" s="60"/>
      <c r="AQ119" s="60"/>
      <c r="AR119" s="72"/>
      <c r="AS119" s="60"/>
      <c r="AT119" s="7"/>
      <c r="AU119" s="7"/>
      <c r="AV119" s="92"/>
      <c r="AW119" s="93"/>
      <c r="AX119" s="77"/>
      <c r="AY119" s="80"/>
      <c r="AZ119" s="94"/>
      <c r="BA119" s="94"/>
      <c r="BB119" s="80" t="s">
        <v>519</v>
      </c>
      <c r="BC119" s="95"/>
      <c r="BD119" s="92"/>
      <c r="BE119" s="92"/>
      <c r="BF119" s="92"/>
      <c r="BG119" s="92"/>
      <c r="BH119" s="92"/>
      <c r="BI119" s="92"/>
      <c r="BJ119" s="92"/>
      <c r="BK119" s="92"/>
      <c r="BL119" s="92"/>
      <c r="BM119" s="92"/>
      <c r="BN119" s="92"/>
      <c r="BO119" s="92"/>
      <c r="BP119" s="92"/>
      <c r="BQ119" s="92"/>
      <c r="BS119" s="6"/>
      <c r="BT119" s="11"/>
      <c r="BU119" s="6"/>
      <c r="BV119" s="6"/>
    </row>
    <row r="120" spans="1:74" ht="15.75" x14ac:dyDescent="0.25">
      <c r="A120" s="50" t="s">
        <v>449</v>
      </c>
      <c r="B120" s="52"/>
      <c r="C120" s="7" t="s">
        <v>118</v>
      </c>
      <c r="D120" s="7" t="s">
        <v>510</v>
      </c>
      <c r="E120" s="7"/>
      <c r="F120" s="55"/>
      <c r="G120" s="6"/>
      <c r="H120" s="6"/>
      <c r="I120" s="10" t="s">
        <v>110</v>
      </c>
      <c r="J120" s="11" t="s">
        <v>762</v>
      </c>
      <c r="K120" s="102" t="s">
        <v>512</v>
      </c>
      <c r="L120" s="98"/>
      <c r="M120" s="98">
        <v>1000</v>
      </c>
      <c r="N120" s="60" t="s">
        <v>513</v>
      </c>
      <c r="O120" s="88"/>
      <c r="P120" s="60" t="s">
        <v>763</v>
      </c>
      <c r="Q120" s="60"/>
      <c r="R120" s="60"/>
      <c r="S120" s="89"/>
      <c r="T120" s="106"/>
      <c r="U120" s="88"/>
      <c r="V120" s="91"/>
      <c r="W120" s="12" t="s">
        <v>515</v>
      </c>
      <c r="X120" s="103"/>
      <c r="Y120" s="6" t="s">
        <v>761</v>
      </c>
      <c r="Z120" s="64" t="s">
        <v>522</v>
      </c>
      <c r="AA120" s="12">
        <v>58</v>
      </c>
      <c r="AB120" s="6" t="s">
        <v>148</v>
      </c>
      <c r="AC120" s="64">
        <v>3084</v>
      </c>
      <c r="AJ120" s="60"/>
      <c r="AK120" s="67" t="s">
        <v>450</v>
      </c>
      <c r="AN120" s="60"/>
      <c r="AO120" s="60"/>
      <c r="AP120" s="60"/>
      <c r="AQ120" s="60"/>
      <c r="AR120" s="72"/>
      <c r="AS120" s="60"/>
      <c r="AT120" s="7"/>
      <c r="AU120" s="7"/>
      <c r="AV120" s="92"/>
      <c r="AW120" s="93"/>
      <c r="AX120" s="77"/>
      <c r="AY120" s="80"/>
      <c r="AZ120" s="94"/>
      <c r="BA120" s="94"/>
      <c r="BB120" s="80" t="s">
        <v>519</v>
      </c>
      <c r="BC120" s="95"/>
      <c r="BD120" s="92"/>
      <c r="BE120" s="92"/>
      <c r="BF120" s="92"/>
      <c r="BG120" s="92"/>
      <c r="BH120" s="92"/>
      <c r="BI120" s="92"/>
      <c r="BJ120" s="92"/>
      <c r="BK120" s="92"/>
      <c r="BL120" s="92"/>
      <c r="BM120" s="92"/>
      <c r="BN120" s="92"/>
      <c r="BO120" s="92"/>
      <c r="BP120" s="92"/>
      <c r="BQ120" s="92"/>
      <c r="BS120" s="6"/>
      <c r="BT120" s="11"/>
      <c r="BU120" s="6"/>
      <c r="BV120" s="6"/>
    </row>
    <row r="121" spans="1:74" ht="15.75" x14ac:dyDescent="0.25">
      <c r="A121" s="50" t="s">
        <v>449</v>
      </c>
      <c r="B121" s="52"/>
      <c r="C121" s="7" t="s">
        <v>118</v>
      </c>
      <c r="D121" s="7" t="s">
        <v>510</v>
      </c>
      <c r="E121" s="7"/>
      <c r="F121" s="55"/>
      <c r="G121" s="6"/>
      <c r="H121" s="6"/>
      <c r="I121" s="10" t="s">
        <v>110</v>
      </c>
      <c r="J121" s="11" t="s">
        <v>764</v>
      </c>
      <c r="K121" s="102" t="s">
        <v>512</v>
      </c>
      <c r="L121" s="98"/>
      <c r="M121" s="98">
        <v>1000</v>
      </c>
      <c r="N121" s="60" t="s">
        <v>513</v>
      </c>
      <c r="O121" s="88"/>
      <c r="P121" s="60" t="s">
        <v>765</v>
      </c>
      <c r="Q121" s="60"/>
      <c r="R121" s="60"/>
      <c r="S121" s="89"/>
      <c r="T121" s="106"/>
      <c r="U121" s="88"/>
      <c r="V121" s="91"/>
      <c r="W121" s="12" t="s">
        <v>515</v>
      </c>
      <c r="X121" s="103"/>
      <c r="Y121" s="6" t="s">
        <v>766</v>
      </c>
      <c r="Z121" s="64" t="s">
        <v>517</v>
      </c>
      <c r="AA121" s="12">
        <v>59</v>
      </c>
      <c r="AB121" s="6" t="s">
        <v>148</v>
      </c>
      <c r="AC121" s="64">
        <v>3060</v>
      </c>
      <c r="AJ121" s="60"/>
      <c r="AK121" s="67" t="s">
        <v>518</v>
      </c>
      <c r="AN121" s="60"/>
      <c r="AO121" s="60"/>
      <c r="AP121" s="60"/>
      <c r="AQ121" s="60"/>
      <c r="AR121" s="72"/>
      <c r="AS121" s="60"/>
      <c r="AT121" s="7"/>
      <c r="AU121" s="7"/>
      <c r="AV121" s="92"/>
      <c r="AW121" s="93"/>
      <c r="AX121" s="77"/>
      <c r="AY121" s="80"/>
      <c r="AZ121" s="94"/>
      <c r="BA121" s="94"/>
      <c r="BB121" s="80" t="s">
        <v>519</v>
      </c>
      <c r="BC121" s="95"/>
      <c r="BD121" s="92"/>
      <c r="BE121" s="92"/>
      <c r="BF121" s="92"/>
      <c r="BG121" s="92"/>
      <c r="BH121" s="92"/>
      <c r="BI121" s="92"/>
      <c r="BJ121" s="92"/>
      <c r="BK121" s="92"/>
      <c r="BL121" s="92"/>
      <c r="BM121" s="92"/>
      <c r="BN121" s="92"/>
      <c r="BO121" s="92"/>
      <c r="BP121" s="92"/>
      <c r="BQ121" s="92"/>
      <c r="BS121" s="6"/>
      <c r="BT121" s="11"/>
      <c r="BU121" s="6"/>
      <c r="BV121" s="6"/>
    </row>
    <row r="122" spans="1:74" ht="15.75" x14ac:dyDescent="0.25">
      <c r="A122" s="50" t="s">
        <v>449</v>
      </c>
      <c r="B122" s="52"/>
      <c r="C122" s="7" t="s">
        <v>118</v>
      </c>
      <c r="D122" s="7" t="s">
        <v>510</v>
      </c>
      <c r="E122" s="7"/>
      <c r="F122" s="55"/>
      <c r="G122" s="6"/>
      <c r="H122" s="6"/>
      <c r="I122" s="10" t="s">
        <v>110</v>
      </c>
      <c r="J122" s="11" t="s">
        <v>767</v>
      </c>
      <c r="K122" s="102" t="s">
        <v>512</v>
      </c>
      <c r="L122" s="98"/>
      <c r="M122" s="98">
        <v>1000</v>
      </c>
      <c r="N122" s="60" t="s">
        <v>513</v>
      </c>
      <c r="O122" s="88"/>
      <c r="P122" s="60" t="s">
        <v>768</v>
      </c>
      <c r="Q122" s="60"/>
      <c r="R122" s="60"/>
      <c r="S122" s="89"/>
      <c r="T122" s="106"/>
      <c r="U122" s="88"/>
      <c r="V122" s="91"/>
      <c r="W122" s="12" t="s">
        <v>515</v>
      </c>
      <c r="X122" s="103"/>
      <c r="Y122" s="6" t="s">
        <v>766</v>
      </c>
      <c r="Z122" s="64" t="s">
        <v>522</v>
      </c>
      <c r="AA122" s="12">
        <v>59</v>
      </c>
      <c r="AB122" s="6" t="s">
        <v>148</v>
      </c>
      <c r="AC122" s="64">
        <v>3084</v>
      </c>
      <c r="AJ122" s="60"/>
      <c r="AK122" s="67" t="s">
        <v>450</v>
      </c>
      <c r="AN122" s="60"/>
      <c r="AO122" s="60"/>
      <c r="AP122" s="60"/>
      <c r="AQ122" s="60"/>
      <c r="AR122" s="72"/>
      <c r="AS122" s="60"/>
      <c r="AT122" s="7"/>
      <c r="AU122" s="7"/>
      <c r="AV122" s="92"/>
      <c r="AW122" s="93"/>
      <c r="AX122" s="77"/>
      <c r="AY122" s="80"/>
      <c r="AZ122" s="94"/>
      <c r="BA122" s="94"/>
      <c r="BB122" s="80" t="s">
        <v>519</v>
      </c>
      <c r="BC122" s="95"/>
      <c r="BD122" s="92"/>
      <c r="BE122" s="92"/>
      <c r="BF122" s="92"/>
      <c r="BG122" s="92"/>
      <c r="BH122" s="92"/>
      <c r="BI122" s="92"/>
      <c r="BJ122" s="92"/>
      <c r="BK122" s="92"/>
      <c r="BL122" s="92"/>
      <c r="BM122" s="92"/>
      <c r="BN122" s="92"/>
      <c r="BO122" s="92"/>
      <c r="BP122" s="92"/>
      <c r="BQ122" s="92"/>
      <c r="BS122" s="6"/>
      <c r="BT122" s="11"/>
      <c r="BU122" s="6"/>
      <c r="BV122" s="6"/>
    </row>
    <row r="123" spans="1:74" ht="15.75" x14ac:dyDescent="0.25">
      <c r="A123" s="50" t="s">
        <v>449</v>
      </c>
      <c r="B123" s="52"/>
      <c r="C123" s="7" t="s">
        <v>118</v>
      </c>
      <c r="D123" s="7" t="s">
        <v>769</v>
      </c>
      <c r="E123" s="7"/>
      <c r="F123" s="55"/>
      <c r="G123" s="6"/>
      <c r="H123" s="6"/>
      <c r="I123" s="10" t="s">
        <v>110</v>
      </c>
      <c r="J123" s="11" t="s">
        <v>770</v>
      </c>
      <c r="K123" s="102" t="s">
        <v>512</v>
      </c>
      <c r="L123" s="98"/>
      <c r="M123" s="98">
        <v>1000</v>
      </c>
      <c r="N123" s="60" t="s">
        <v>771</v>
      </c>
      <c r="O123" s="88"/>
      <c r="P123" s="60" t="s">
        <v>772</v>
      </c>
      <c r="Q123" s="60"/>
      <c r="R123" s="60"/>
      <c r="S123" s="89"/>
      <c r="T123" s="106"/>
      <c r="U123" s="88"/>
      <c r="V123" s="91"/>
      <c r="W123" s="12" t="s">
        <v>515</v>
      </c>
      <c r="X123" s="103"/>
      <c r="Y123" s="6" t="s">
        <v>773</v>
      </c>
      <c r="Z123" s="64" t="s">
        <v>517</v>
      </c>
      <c r="AA123" s="12">
        <v>1</v>
      </c>
      <c r="AB123" s="6" t="s">
        <v>148</v>
      </c>
      <c r="AC123" s="64">
        <v>3060</v>
      </c>
      <c r="AJ123" s="60"/>
      <c r="AK123" s="67" t="s">
        <v>518</v>
      </c>
      <c r="AN123" s="60"/>
      <c r="AO123" s="60"/>
      <c r="AP123" s="60"/>
      <c r="AQ123" s="60"/>
      <c r="AR123" s="72"/>
      <c r="AS123" s="60"/>
      <c r="AT123" s="7"/>
      <c r="AU123" s="7"/>
      <c r="AV123" s="92"/>
      <c r="AW123" s="93"/>
      <c r="AX123" s="77"/>
      <c r="AY123" s="80"/>
      <c r="AZ123" s="94"/>
      <c r="BA123" s="94"/>
      <c r="BB123" s="80" t="s">
        <v>519</v>
      </c>
      <c r="BC123" s="95"/>
      <c r="BD123" s="92"/>
      <c r="BE123" s="92"/>
      <c r="BF123" s="92"/>
      <c r="BG123" s="92"/>
      <c r="BH123" s="92"/>
      <c r="BI123" s="92"/>
      <c r="BJ123" s="92"/>
      <c r="BK123" s="92"/>
      <c r="BL123" s="92"/>
      <c r="BM123" s="92"/>
      <c r="BN123" s="92"/>
      <c r="BO123" s="92"/>
      <c r="BP123" s="92"/>
      <c r="BQ123" s="92"/>
      <c r="BS123" s="6"/>
      <c r="BT123" s="11"/>
      <c r="BU123" s="6"/>
      <c r="BV123" s="6"/>
    </row>
    <row r="124" spans="1:74" ht="15.75" x14ac:dyDescent="0.25">
      <c r="A124" s="50" t="s">
        <v>449</v>
      </c>
      <c r="B124" s="52"/>
      <c r="C124" s="7" t="s">
        <v>118</v>
      </c>
      <c r="D124" s="7" t="s">
        <v>769</v>
      </c>
      <c r="E124" s="7"/>
      <c r="F124" s="55"/>
      <c r="G124" s="6"/>
      <c r="H124" s="6"/>
      <c r="I124" s="10" t="s">
        <v>110</v>
      </c>
      <c r="J124" s="11" t="s">
        <v>774</v>
      </c>
      <c r="K124" s="102" t="s">
        <v>512</v>
      </c>
      <c r="L124" s="98"/>
      <c r="M124" s="98">
        <v>1000</v>
      </c>
      <c r="N124" s="60" t="s">
        <v>771</v>
      </c>
      <c r="O124" s="88"/>
      <c r="P124" s="60" t="s">
        <v>775</v>
      </c>
      <c r="Q124" s="60"/>
      <c r="R124" s="60"/>
      <c r="S124" s="89"/>
      <c r="T124" s="106"/>
      <c r="U124" s="88"/>
      <c r="V124" s="91"/>
      <c r="W124" s="12" t="s">
        <v>515</v>
      </c>
      <c r="X124" s="103"/>
      <c r="Y124" s="6" t="s">
        <v>773</v>
      </c>
      <c r="Z124" s="64" t="s">
        <v>522</v>
      </c>
      <c r="AA124" s="12">
        <v>1</v>
      </c>
      <c r="AB124" s="6" t="s">
        <v>148</v>
      </c>
      <c r="AC124" s="64">
        <v>3084</v>
      </c>
      <c r="AJ124" s="60"/>
      <c r="AK124" s="67" t="s">
        <v>450</v>
      </c>
      <c r="AN124" s="60"/>
      <c r="AO124" s="60"/>
      <c r="AP124" s="60"/>
      <c r="AQ124" s="60"/>
      <c r="AR124" s="72"/>
      <c r="AS124" s="60"/>
      <c r="AT124" s="7"/>
      <c r="AU124" s="7"/>
      <c r="AV124" s="92"/>
      <c r="AW124" s="93"/>
      <c r="AX124" s="77"/>
      <c r="AY124" s="80"/>
      <c r="AZ124" s="94"/>
      <c r="BA124" s="94"/>
      <c r="BB124" s="80" t="s">
        <v>519</v>
      </c>
      <c r="BC124" s="95"/>
      <c r="BD124" s="92"/>
      <c r="BE124" s="92"/>
      <c r="BF124" s="92"/>
      <c r="BG124" s="92"/>
      <c r="BH124" s="92"/>
      <c r="BI124" s="92"/>
      <c r="BJ124" s="92"/>
      <c r="BK124" s="92"/>
      <c r="BL124" s="92"/>
      <c r="BM124" s="92"/>
      <c r="BN124" s="92"/>
      <c r="BO124" s="92"/>
      <c r="BP124" s="92"/>
      <c r="BQ124" s="92"/>
      <c r="BS124" s="6"/>
      <c r="BT124" s="11"/>
      <c r="BU124" s="6"/>
      <c r="BV124" s="6"/>
    </row>
    <row r="125" spans="1:74" ht="15.75" x14ac:dyDescent="0.25">
      <c r="A125" s="50" t="s">
        <v>449</v>
      </c>
      <c r="B125" s="52"/>
      <c r="C125" s="7" t="s">
        <v>118</v>
      </c>
      <c r="D125" s="7" t="s">
        <v>769</v>
      </c>
      <c r="E125" s="7"/>
      <c r="F125" s="55"/>
      <c r="G125" s="6"/>
      <c r="H125" s="6"/>
      <c r="I125" s="10" t="s">
        <v>110</v>
      </c>
      <c r="J125" s="11" t="s">
        <v>776</v>
      </c>
      <c r="K125" s="102" t="s">
        <v>512</v>
      </c>
      <c r="L125" s="98"/>
      <c r="M125" s="98">
        <v>1000</v>
      </c>
      <c r="N125" s="60" t="s">
        <v>771</v>
      </c>
      <c r="O125" s="88"/>
      <c r="P125" s="60" t="s">
        <v>523</v>
      </c>
      <c r="Q125" s="60"/>
      <c r="R125" s="60"/>
      <c r="S125" s="89"/>
      <c r="T125" s="106"/>
      <c r="U125" s="88"/>
      <c r="V125" s="91"/>
      <c r="W125" s="12" t="s">
        <v>515</v>
      </c>
      <c r="X125" s="103"/>
      <c r="Y125" s="6" t="s">
        <v>524</v>
      </c>
      <c r="Z125" s="64" t="s">
        <v>517</v>
      </c>
      <c r="AA125" s="12">
        <v>2</v>
      </c>
      <c r="AB125" s="6" t="s">
        <v>148</v>
      </c>
      <c r="AC125" s="64">
        <v>3060</v>
      </c>
      <c r="AJ125" s="60"/>
      <c r="AK125" s="67" t="s">
        <v>518</v>
      </c>
      <c r="AN125" s="60"/>
      <c r="AO125" s="60"/>
      <c r="AP125" s="60"/>
      <c r="AQ125" s="60"/>
      <c r="AR125" s="72"/>
      <c r="AS125" s="60"/>
      <c r="AT125" s="7"/>
      <c r="AU125" s="7"/>
      <c r="AV125" s="92"/>
      <c r="AW125" s="93"/>
      <c r="AX125" s="77"/>
      <c r="AY125" s="80"/>
      <c r="AZ125" s="94"/>
      <c r="BA125" s="94"/>
      <c r="BB125" s="80" t="s">
        <v>519</v>
      </c>
      <c r="BC125" s="95"/>
      <c r="BD125" s="92"/>
      <c r="BE125" s="92"/>
      <c r="BF125" s="92"/>
      <c r="BG125" s="92"/>
      <c r="BH125" s="92"/>
      <c r="BI125" s="92"/>
      <c r="BJ125" s="92"/>
      <c r="BK125" s="92"/>
      <c r="BL125" s="92"/>
      <c r="BM125" s="92"/>
      <c r="BN125" s="92"/>
      <c r="BO125" s="92"/>
      <c r="BP125" s="92"/>
      <c r="BQ125" s="92"/>
      <c r="BS125" s="6"/>
      <c r="BT125" s="11"/>
      <c r="BU125" s="6"/>
      <c r="BV125" s="6"/>
    </row>
    <row r="126" spans="1:74" ht="15.75" x14ac:dyDescent="0.25">
      <c r="A126" s="50" t="s">
        <v>449</v>
      </c>
      <c r="B126" s="52"/>
      <c r="C126" s="7" t="s">
        <v>118</v>
      </c>
      <c r="D126" s="7" t="s">
        <v>769</v>
      </c>
      <c r="E126" s="7"/>
      <c r="F126" s="55"/>
      <c r="G126" s="6"/>
      <c r="H126" s="6"/>
      <c r="I126" s="10" t="s">
        <v>110</v>
      </c>
      <c r="J126" s="11" t="s">
        <v>777</v>
      </c>
      <c r="K126" s="102" t="s">
        <v>512</v>
      </c>
      <c r="L126" s="98"/>
      <c r="M126" s="98">
        <v>1000</v>
      </c>
      <c r="N126" s="60" t="s">
        <v>771</v>
      </c>
      <c r="O126" s="88"/>
      <c r="P126" s="60" t="s">
        <v>525</v>
      </c>
      <c r="Q126" s="60"/>
      <c r="R126" s="60"/>
      <c r="S126" s="89"/>
      <c r="T126" s="106"/>
      <c r="U126" s="88"/>
      <c r="V126" s="91"/>
      <c r="W126" s="12" t="s">
        <v>515</v>
      </c>
      <c r="X126" s="103"/>
      <c r="Y126" s="6" t="s">
        <v>524</v>
      </c>
      <c r="Z126" s="64" t="s">
        <v>522</v>
      </c>
      <c r="AA126" s="12">
        <v>2</v>
      </c>
      <c r="AB126" s="6" t="s">
        <v>148</v>
      </c>
      <c r="AC126" s="64">
        <v>3084</v>
      </c>
      <c r="AJ126" s="60"/>
      <c r="AK126" s="67" t="s">
        <v>450</v>
      </c>
      <c r="AN126" s="60"/>
      <c r="AO126" s="60"/>
      <c r="AP126" s="60"/>
      <c r="AQ126" s="60"/>
      <c r="AR126" s="72"/>
      <c r="AS126" s="60"/>
      <c r="AT126" s="7"/>
      <c r="AU126" s="7"/>
      <c r="AV126" s="92"/>
      <c r="AW126" s="93"/>
      <c r="AX126" s="77"/>
      <c r="AY126" s="80"/>
      <c r="AZ126" s="94"/>
      <c r="BA126" s="94"/>
      <c r="BB126" s="80" t="s">
        <v>519</v>
      </c>
      <c r="BC126" s="95"/>
      <c r="BD126" s="92"/>
      <c r="BE126" s="92"/>
      <c r="BF126" s="92"/>
      <c r="BG126" s="92"/>
      <c r="BH126" s="92"/>
      <c r="BI126" s="92"/>
      <c r="BJ126" s="92"/>
      <c r="BK126" s="92"/>
      <c r="BL126" s="92"/>
      <c r="BM126" s="92"/>
      <c r="BN126" s="92"/>
      <c r="BO126" s="92"/>
      <c r="BP126" s="92"/>
      <c r="BQ126" s="92"/>
      <c r="BS126" s="6"/>
      <c r="BT126" s="11"/>
      <c r="BU126" s="6"/>
      <c r="BV126" s="6"/>
    </row>
    <row r="127" spans="1:74" ht="15.75" x14ac:dyDescent="0.25">
      <c r="A127" s="50" t="s">
        <v>449</v>
      </c>
      <c r="B127" s="52"/>
      <c r="C127" s="7" t="s">
        <v>118</v>
      </c>
      <c r="D127" s="7" t="s">
        <v>769</v>
      </c>
      <c r="E127" s="7"/>
      <c r="F127" s="55"/>
      <c r="G127" s="6"/>
      <c r="H127" s="6"/>
      <c r="I127" s="10" t="s">
        <v>110</v>
      </c>
      <c r="J127" s="11" t="s">
        <v>778</v>
      </c>
      <c r="K127" s="102" t="s">
        <v>512</v>
      </c>
      <c r="L127" s="98"/>
      <c r="M127" s="98">
        <v>1000</v>
      </c>
      <c r="N127" s="60" t="s">
        <v>771</v>
      </c>
      <c r="O127" s="88"/>
      <c r="P127" s="60" t="s">
        <v>779</v>
      </c>
      <c r="Q127" s="60"/>
      <c r="R127" s="60"/>
      <c r="S127" s="89"/>
      <c r="T127" s="106"/>
      <c r="U127" s="88"/>
      <c r="V127" s="91"/>
      <c r="W127" s="12" t="s">
        <v>515</v>
      </c>
      <c r="X127" s="103"/>
      <c r="Y127" s="6" t="s">
        <v>780</v>
      </c>
      <c r="Z127" s="64" t="s">
        <v>517</v>
      </c>
      <c r="AA127" s="12">
        <v>3</v>
      </c>
      <c r="AB127" s="6" t="s">
        <v>148</v>
      </c>
      <c r="AC127" s="64">
        <v>3060</v>
      </c>
      <c r="AJ127" s="60"/>
      <c r="AK127" s="67" t="s">
        <v>518</v>
      </c>
      <c r="AN127" s="60"/>
      <c r="AO127" s="60"/>
      <c r="AP127" s="60"/>
      <c r="AQ127" s="60"/>
      <c r="AR127" s="72"/>
      <c r="AS127" s="60"/>
      <c r="AT127" s="7"/>
      <c r="AU127" s="7"/>
      <c r="AV127" s="92"/>
      <c r="AW127" s="93"/>
      <c r="AX127" s="77"/>
      <c r="AY127" s="80"/>
      <c r="AZ127" s="94"/>
      <c r="BA127" s="94"/>
      <c r="BB127" s="80" t="s">
        <v>519</v>
      </c>
      <c r="BC127" s="95"/>
      <c r="BD127" s="92"/>
      <c r="BE127" s="92"/>
      <c r="BF127" s="92"/>
      <c r="BG127" s="92"/>
      <c r="BH127" s="92"/>
      <c r="BI127" s="92"/>
      <c r="BJ127" s="92"/>
      <c r="BK127" s="92"/>
      <c r="BL127" s="92"/>
      <c r="BM127" s="92"/>
      <c r="BN127" s="92"/>
      <c r="BO127" s="92"/>
      <c r="BP127" s="92"/>
      <c r="BQ127" s="92"/>
      <c r="BS127" s="6"/>
      <c r="BT127" s="11"/>
      <c r="BU127" s="6"/>
      <c r="BV127" s="6"/>
    </row>
    <row r="128" spans="1:74" ht="15.75" x14ac:dyDescent="0.25">
      <c r="A128" s="50" t="s">
        <v>449</v>
      </c>
      <c r="B128" s="52"/>
      <c r="C128" s="7" t="s">
        <v>118</v>
      </c>
      <c r="D128" s="7" t="s">
        <v>769</v>
      </c>
      <c r="E128" s="7"/>
      <c r="F128" s="55"/>
      <c r="G128" s="6"/>
      <c r="H128" s="6"/>
      <c r="I128" s="10" t="s">
        <v>110</v>
      </c>
      <c r="J128" s="11" t="s">
        <v>781</v>
      </c>
      <c r="K128" s="102" t="s">
        <v>512</v>
      </c>
      <c r="L128" s="98"/>
      <c r="M128" s="98">
        <v>1000</v>
      </c>
      <c r="N128" s="60" t="s">
        <v>771</v>
      </c>
      <c r="O128" s="88"/>
      <c r="P128" s="60" t="s">
        <v>782</v>
      </c>
      <c r="Q128" s="60"/>
      <c r="R128" s="60"/>
      <c r="S128" s="89"/>
      <c r="T128" s="106"/>
      <c r="U128" s="88"/>
      <c r="V128" s="91"/>
      <c r="W128" s="12" t="s">
        <v>515</v>
      </c>
      <c r="X128" s="103"/>
      <c r="Y128" s="6" t="s">
        <v>780</v>
      </c>
      <c r="Z128" s="64" t="s">
        <v>522</v>
      </c>
      <c r="AA128" s="12">
        <v>3</v>
      </c>
      <c r="AB128" s="6" t="s">
        <v>148</v>
      </c>
      <c r="AC128" s="64">
        <v>3084</v>
      </c>
      <c r="AJ128" s="60"/>
      <c r="AK128" s="67" t="s">
        <v>450</v>
      </c>
      <c r="AN128" s="60"/>
      <c r="AO128" s="60"/>
      <c r="AP128" s="60"/>
      <c r="AQ128" s="60"/>
      <c r="AR128" s="72"/>
      <c r="AS128" s="60"/>
      <c r="AT128" s="7"/>
      <c r="AU128" s="7"/>
      <c r="AV128" s="92"/>
      <c r="AW128" s="93"/>
      <c r="AX128" s="77"/>
      <c r="AY128" s="80"/>
      <c r="AZ128" s="94"/>
      <c r="BA128" s="94"/>
      <c r="BB128" s="80" t="s">
        <v>519</v>
      </c>
      <c r="BC128" s="95"/>
      <c r="BD128" s="92"/>
      <c r="BE128" s="92"/>
      <c r="BF128" s="92"/>
      <c r="BG128" s="92"/>
      <c r="BH128" s="92"/>
      <c r="BI128" s="92"/>
      <c r="BJ128" s="92"/>
      <c r="BK128" s="92"/>
      <c r="BL128" s="92"/>
      <c r="BM128" s="92"/>
      <c r="BN128" s="92"/>
      <c r="BO128" s="92"/>
      <c r="BP128" s="92"/>
      <c r="BQ128" s="92"/>
      <c r="BS128" s="6"/>
      <c r="BT128" s="11"/>
      <c r="BU128" s="6"/>
      <c r="BV128" s="6"/>
    </row>
    <row r="129" spans="1:74" ht="15.75" x14ac:dyDescent="0.25">
      <c r="A129" s="50" t="s">
        <v>449</v>
      </c>
      <c r="B129" s="52"/>
      <c r="C129" s="7" t="s">
        <v>118</v>
      </c>
      <c r="D129" s="7" t="s">
        <v>769</v>
      </c>
      <c r="E129" s="7"/>
      <c r="F129" s="55"/>
      <c r="G129" s="6"/>
      <c r="H129" s="6"/>
      <c r="I129" s="10" t="s">
        <v>110</v>
      </c>
      <c r="J129" s="11" t="s">
        <v>783</v>
      </c>
      <c r="K129" s="102" t="s">
        <v>512</v>
      </c>
      <c r="L129" s="98"/>
      <c r="M129" s="98">
        <v>1000</v>
      </c>
      <c r="N129" s="60" t="s">
        <v>771</v>
      </c>
      <c r="O129" s="88"/>
      <c r="P129" s="60" t="s">
        <v>784</v>
      </c>
      <c r="Q129" s="60"/>
      <c r="R129" s="60"/>
      <c r="S129" s="89"/>
      <c r="T129" s="106"/>
      <c r="U129" s="88"/>
      <c r="V129" s="91"/>
      <c r="W129" s="12" t="s">
        <v>515</v>
      </c>
      <c r="X129" s="103"/>
      <c r="Y129" s="6" t="s">
        <v>785</v>
      </c>
      <c r="Z129" s="64" t="s">
        <v>517</v>
      </c>
      <c r="AA129" s="12">
        <v>4</v>
      </c>
      <c r="AB129" s="6" t="s">
        <v>148</v>
      </c>
      <c r="AC129" s="64">
        <v>3060</v>
      </c>
      <c r="AJ129" s="60"/>
      <c r="AK129" s="67" t="s">
        <v>518</v>
      </c>
      <c r="AN129" s="60"/>
      <c r="AO129" s="60"/>
      <c r="AP129" s="60"/>
      <c r="AQ129" s="60"/>
      <c r="AR129" s="72"/>
      <c r="AS129" s="60"/>
      <c r="AT129" s="7"/>
      <c r="AU129" s="7"/>
      <c r="AV129" s="92"/>
      <c r="AW129" s="93"/>
      <c r="AX129" s="77"/>
      <c r="AY129" s="80"/>
      <c r="AZ129" s="94"/>
      <c r="BA129" s="94"/>
      <c r="BB129" s="80" t="s">
        <v>519</v>
      </c>
      <c r="BC129" s="95"/>
      <c r="BD129" s="92"/>
      <c r="BE129" s="92"/>
      <c r="BF129" s="92"/>
      <c r="BG129" s="92"/>
      <c r="BH129" s="92"/>
      <c r="BI129" s="92"/>
      <c r="BJ129" s="92"/>
      <c r="BK129" s="92"/>
      <c r="BL129" s="92"/>
      <c r="BM129" s="92"/>
      <c r="BN129" s="92"/>
      <c r="BO129" s="92"/>
      <c r="BP129" s="92"/>
      <c r="BQ129" s="92"/>
      <c r="BS129" s="6"/>
      <c r="BT129" s="11"/>
      <c r="BU129" s="6"/>
      <c r="BV129" s="6"/>
    </row>
    <row r="130" spans="1:74" ht="15.75" x14ac:dyDescent="0.25">
      <c r="A130" s="50" t="s">
        <v>449</v>
      </c>
      <c r="B130" s="52"/>
      <c r="C130" s="7" t="s">
        <v>118</v>
      </c>
      <c r="D130" s="7" t="s">
        <v>769</v>
      </c>
      <c r="E130" s="7"/>
      <c r="F130" s="55"/>
      <c r="G130" s="6"/>
      <c r="H130" s="6"/>
      <c r="I130" s="10" t="s">
        <v>110</v>
      </c>
      <c r="J130" s="11" t="s">
        <v>786</v>
      </c>
      <c r="K130" s="102" t="s">
        <v>512</v>
      </c>
      <c r="L130" s="98"/>
      <c r="M130" s="98">
        <v>1000</v>
      </c>
      <c r="N130" s="60" t="s">
        <v>771</v>
      </c>
      <c r="O130" s="88"/>
      <c r="P130" s="60" t="s">
        <v>787</v>
      </c>
      <c r="Q130" s="60"/>
      <c r="R130" s="60"/>
      <c r="S130" s="89"/>
      <c r="T130" s="106"/>
      <c r="U130" s="88"/>
      <c r="V130" s="91"/>
      <c r="W130" s="12" t="s">
        <v>515</v>
      </c>
      <c r="X130" s="103"/>
      <c r="Y130" s="6" t="s">
        <v>785</v>
      </c>
      <c r="Z130" s="64" t="s">
        <v>522</v>
      </c>
      <c r="AA130" s="12">
        <v>4</v>
      </c>
      <c r="AB130" s="6" t="s">
        <v>148</v>
      </c>
      <c r="AC130" s="64">
        <v>3084</v>
      </c>
      <c r="AJ130" s="60"/>
      <c r="AK130" s="67" t="s">
        <v>450</v>
      </c>
      <c r="AN130" s="60"/>
      <c r="AO130" s="60"/>
      <c r="AP130" s="60"/>
      <c r="AQ130" s="60"/>
      <c r="AR130" s="72"/>
      <c r="AS130" s="60"/>
      <c r="AT130" s="7"/>
      <c r="AU130" s="7"/>
      <c r="AV130" s="92"/>
      <c r="AW130" s="93"/>
      <c r="AX130" s="77"/>
      <c r="AY130" s="80"/>
      <c r="AZ130" s="94"/>
      <c r="BA130" s="94"/>
      <c r="BB130" s="80" t="s">
        <v>519</v>
      </c>
      <c r="BC130" s="95"/>
      <c r="BD130" s="92"/>
      <c r="BE130" s="92"/>
      <c r="BF130" s="92"/>
      <c r="BG130" s="92"/>
      <c r="BH130" s="92"/>
      <c r="BI130" s="92"/>
      <c r="BJ130" s="92"/>
      <c r="BK130" s="92"/>
      <c r="BL130" s="92"/>
      <c r="BM130" s="92"/>
      <c r="BN130" s="92"/>
      <c r="BO130" s="92"/>
      <c r="BP130" s="92"/>
      <c r="BQ130" s="92"/>
      <c r="BS130" s="6"/>
      <c r="BT130" s="11"/>
      <c r="BU130" s="6"/>
      <c r="BV130" s="6"/>
    </row>
    <row r="131" spans="1:74" ht="15.75" x14ac:dyDescent="0.25">
      <c r="A131" s="50" t="s">
        <v>449</v>
      </c>
      <c r="B131" s="52"/>
      <c r="C131" s="7" t="s">
        <v>118</v>
      </c>
      <c r="D131" s="7" t="s">
        <v>769</v>
      </c>
      <c r="E131" s="7"/>
      <c r="F131" s="55"/>
      <c r="G131" s="6"/>
      <c r="H131" s="6"/>
      <c r="I131" s="10" t="s">
        <v>110</v>
      </c>
      <c r="J131" s="11" t="s">
        <v>788</v>
      </c>
      <c r="K131" s="102" t="s">
        <v>512</v>
      </c>
      <c r="L131" s="98"/>
      <c r="M131" s="98">
        <v>1000</v>
      </c>
      <c r="N131" s="60" t="s">
        <v>771</v>
      </c>
      <c r="O131" s="88"/>
      <c r="P131" s="60" t="s">
        <v>789</v>
      </c>
      <c r="Q131" s="60"/>
      <c r="R131" s="60"/>
      <c r="S131" s="89"/>
      <c r="T131" s="106"/>
      <c r="U131" s="88"/>
      <c r="V131" s="91"/>
      <c r="W131" s="12" t="s">
        <v>515</v>
      </c>
      <c r="X131" s="103"/>
      <c r="Y131" s="6" t="s">
        <v>790</v>
      </c>
      <c r="Z131" s="64" t="s">
        <v>517</v>
      </c>
      <c r="AA131" s="12">
        <v>5</v>
      </c>
      <c r="AB131" s="6" t="s">
        <v>148</v>
      </c>
      <c r="AC131" s="64">
        <v>3060</v>
      </c>
      <c r="AJ131" s="60"/>
      <c r="AK131" s="67" t="s">
        <v>518</v>
      </c>
      <c r="AN131" s="60"/>
      <c r="AO131" s="60"/>
      <c r="AP131" s="60"/>
      <c r="AQ131" s="60"/>
      <c r="AR131" s="72"/>
      <c r="AS131" s="60"/>
      <c r="AT131" s="7"/>
      <c r="AU131" s="7"/>
      <c r="AV131" s="92"/>
      <c r="AW131" s="93"/>
      <c r="AX131" s="77"/>
      <c r="AY131" s="80"/>
      <c r="AZ131" s="94"/>
      <c r="BA131" s="94"/>
      <c r="BB131" s="80" t="s">
        <v>519</v>
      </c>
      <c r="BC131" s="95"/>
      <c r="BD131" s="92"/>
      <c r="BE131" s="92"/>
      <c r="BF131" s="92"/>
      <c r="BG131" s="92"/>
      <c r="BH131" s="92"/>
      <c r="BI131" s="92"/>
      <c r="BJ131" s="92"/>
      <c r="BK131" s="92"/>
      <c r="BL131" s="92"/>
      <c r="BM131" s="92"/>
      <c r="BN131" s="92"/>
      <c r="BO131" s="92"/>
      <c r="BP131" s="92"/>
      <c r="BQ131" s="92"/>
      <c r="BS131" s="6"/>
      <c r="BT131" s="11"/>
      <c r="BU131" s="6"/>
      <c r="BV131" s="6"/>
    </row>
    <row r="132" spans="1:74" ht="15.75" x14ac:dyDescent="0.25">
      <c r="A132" s="50" t="s">
        <v>449</v>
      </c>
      <c r="B132" s="52"/>
      <c r="C132" s="7" t="s">
        <v>118</v>
      </c>
      <c r="D132" s="7" t="s">
        <v>769</v>
      </c>
      <c r="E132" s="7"/>
      <c r="F132" s="55"/>
      <c r="G132" s="6"/>
      <c r="H132" s="6"/>
      <c r="I132" s="10" t="s">
        <v>110</v>
      </c>
      <c r="J132" s="11" t="s">
        <v>791</v>
      </c>
      <c r="K132" s="102" t="s">
        <v>512</v>
      </c>
      <c r="L132" s="98"/>
      <c r="M132" s="98">
        <v>1000</v>
      </c>
      <c r="N132" s="60" t="s">
        <v>771</v>
      </c>
      <c r="O132" s="88"/>
      <c r="P132" s="60" t="s">
        <v>792</v>
      </c>
      <c r="Q132" s="60"/>
      <c r="R132" s="60"/>
      <c r="S132" s="89"/>
      <c r="T132" s="106"/>
      <c r="U132" s="88"/>
      <c r="V132" s="91"/>
      <c r="W132" s="12" t="s">
        <v>515</v>
      </c>
      <c r="X132" s="103"/>
      <c r="Y132" s="6" t="s">
        <v>790</v>
      </c>
      <c r="Z132" s="64" t="s">
        <v>522</v>
      </c>
      <c r="AA132" s="12">
        <v>5</v>
      </c>
      <c r="AB132" s="6" t="s">
        <v>148</v>
      </c>
      <c r="AC132" s="64">
        <v>3084</v>
      </c>
      <c r="AJ132" s="60"/>
      <c r="AK132" s="67" t="s">
        <v>450</v>
      </c>
      <c r="AN132" s="60"/>
      <c r="AO132" s="60"/>
      <c r="AP132" s="60"/>
      <c r="AQ132" s="60"/>
      <c r="AR132" s="72"/>
      <c r="AS132" s="60"/>
      <c r="AT132" s="7"/>
      <c r="AU132" s="7"/>
      <c r="AV132" s="92"/>
      <c r="AW132" s="93"/>
      <c r="AX132" s="77"/>
      <c r="AY132" s="80"/>
      <c r="AZ132" s="94"/>
      <c r="BA132" s="94"/>
      <c r="BB132" s="80" t="s">
        <v>519</v>
      </c>
      <c r="BC132" s="95"/>
      <c r="BD132" s="92"/>
      <c r="BE132" s="92"/>
      <c r="BF132" s="92"/>
      <c r="BG132" s="92"/>
      <c r="BH132" s="92"/>
      <c r="BI132" s="92"/>
      <c r="BJ132" s="92"/>
      <c r="BK132" s="92"/>
      <c r="BL132" s="92"/>
      <c r="BM132" s="92"/>
      <c r="BN132" s="92"/>
      <c r="BO132" s="92"/>
      <c r="BP132" s="92"/>
      <c r="BQ132" s="92"/>
      <c r="BS132" s="6"/>
      <c r="BT132" s="11"/>
      <c r="BU132" s="6"/>
      <c r="BV132" s="6"/>
    </row>
    <row r="133" spans="1:74" ht="15.75" x14ac:dyDescent="0.25">
      <c r="A133" s="50" t="s">
        <v>449</v>
      </c>
      <c r="B133" s="52"/>
      <c r="C133" s="7" t="s">
        <v>118</v>
      </c>
      <c r="D133" s="7" t="s">
        <v>769</v>
      </c>
      <c r="E133" s="7"/>
      <c r="F133" s="55"/>
      <c r="G133" s="6"/>
      <c r="H133" s="6"/>
      <c r="I133" s="10" t="s">
        <v>110</v>
      </c>
      <c r="J133" s="11" t="s">
        <v>793</v>
      </c>
      <c r="K133" s="102" t="s">
        <v>512</v>
      </c>
      <c r="L133" s="98"/>
      <c r="M133" s="98">
        <v>1000</v>
      </c>
      <c r="N133" s="60" t="s">
        <v>771</v>
      </c>
      <c r="O133" s="88"/>
      <c r="P133" s="60" t="s">
        <v>794</v>
      </c>
      <c r="Q133" s="60"/>
      <c r="R133" s="60"/>
      <c r="S133" s="89"/>
      <c r="T133" s="106"/>
      <c r="U133" s="88"/>
      <c r="V133" s="91"/>
      <c r="W133" s="12" t="s">
        <v>515</v>
      </c>
      <c r="X133" s="103"/>
      <c r="Y133" s="6" t="s">
        <v>795</v>
      </c>
      <c r="Z133" s="64" t="s">
        <v>517</v>
      </c>
      <c r="AA133" s="12">
        <v>6</v>
      </c>
      <c r="AB133" s="6" t="s">
        <v>148</v>
      </c>
      <c r="AC133" s="64">
        <v>3060</v>
      </c>
      <c r="AJ133" s="60"/>
      <c r="AK133" s="67" t="s">
        <v>518</v>
      </c>
      <c r="AN133" s="60"/>
      <c r="AO133" s="60"/>
      <c r="AP133" s="60"/>
      <c r="AQ133" s="60"/>
      <c r="AR133" s="72"/>
      <c r="AS133" s="60"/>
      <c r="AT133" s="7"/>
      <c r="AU133" s="7"/>
      <c r="AV133" s="92"/>
      <c r="AW133" s="93"/>
      <c r="AX133" s="77"/>
      <c r="AY133" s="80"/>
      <c r="AZ133" s="94"/>
      <c r="BA133" s="94"/>
      <c r="BB133" s="80" t="s">
        <v>519</v>
      </c>
      <c r="BC133" s="95"/>
      <c r="BD133" s="92"/>
      <c r="BE133" s="92"/>
      <c r="BF133" s="92"/>
      <c r="BG133" s="92"/>
      <c r="BH133" s="92"/>
      <c r="BI133" s="92"/>
      <c r="BJ133" s="92"/>
      <c r="BK133" s="92"/>
      <c r="BL133" s="92"/>
      <c r="BM133" s="92"/>
      <c r="BN133" s="92"/>
      <c r="BO133" s="92"/>
      <c r="BP133" s="92"/>
      <c r="BQ133" s="92"/>
      <c r="BS133" s="6"/>
      <c r="BT133" s="11"/>
      <c r="BU133" s="6"/>
      <c r="BV133" s="6"/>
    </row>
    <row r="134" spans="1:74" ht="15.75" x14ac:dyDescent="0.25">
      <c r="A134" s="50" t="s">
        <v>449</v>
      </c>
      <c r="B134" s="52"/>
      <c r="C134" s="7" t="s">
        <v>118</v>
      </c>
      <c r="D134" s="7" t="s">
        <v>769</v>
      </c>
      <c r="E134" s="7"/>
      <c r="F134" s="55"/>
      <c r="G134" s="6"/>
      <c r="H134" s="6"/>
      <c r="I134" s="10" t="s">
        <v>110</v>
      </c>
      <c r="J134" s="11" t="s">
        <v>796</v>
      </c>
      <c r="K134" s="102" t="s">
        <v>512</v>
      </c>
      <c r="L134" s="98"/>
      <c r="M134" s="98">
        <v>1000</v>
      </c>
      <c r="N134" s="60" t="s">
        <v>771</v>
      </c>
      <c r="O134" s="88"/>
      <c r="P134" s="60" t="s">
        <v>797</v>
      </c>
      <c r="Q134" s="60"/>
      <c r="R134" s="60"/>
      <c r="S134" s="89"/>
      <c r="T134" s="106"/>
      <c r="U134" s="88"/>
      <c r="V134" s="91"/>
      <c r="W134" s="12" t="s">
        <v>515</v>
      </c>
      <c r="X134" s="103"/>
      <c r="Y134" s="6" t="s">
        <v>795</v>
      </c>
      <c r="Z134" s="64" t="s">
        <v>522</v>
      </c>
      <c r="AA134" s="12">
        <v>6</v>
      </c>
      <c r="AB134" s="6" t="s">
        <v>148</v>
      </c>
      <c r="AC134" s="64">
        <v>3084</v>
      </c>
      <c r="AJ134" s="60"/>
      <c r="AK134" s="67" t="s">
        <v>450</v>
      </c>
      <c r="AN134" s="60"/>
      <c r="AO134" s="60"/>
      <c r="AP134" s="60"/>
      <c r="AQ134" s="60"/>
      <c r="AR134" s="72"/>
      <c r="AS134" s="60"/>
      <c r="AT134" s="7"/>
      <c r="AU134" s="7"/>
      <c r="AV134" s="92"/>
      <c r="AW134" s="93"/>
      <c r="AX134" s="77"/>
      <c r="AY134" s="80"/>
      <c r="AZ134" s="94"/>
      <c r="BA134" s="94"/>
      <c r="BB134" s="80" t="s">
        <v>519</v>
      </c>
      <c r="BC134" s="95"/>
      <c r="BD134" s="92"/>
      <c r="BE134" s="92"/>
      <c r="BF134" s="92"/>
      <c r="BG134" s="92"/>
      <c r="BH134" s="92"/>
      <c r="BI134" s="92"/>
      <c r="BJ134" s="92"/>
      <c r="BK134" s="92"/>
      <c r="BL134" s="92"/>
      <c r="BM134" s="92"/>
      <c r="BN134" s="92"/>
      <c r="BO134" s="92"/>
      <c r="BP134" s="92"/>
      <c r="BQ134" s="92"/>
      <c r="BS134" s="6"/>
      <c r="BT134" s="11"/>
      <c r="BU134" s="6"/>
      <c r="BV134" s="6"/>
    </row>
    <row r="135" spans="1:74" ht="15.75" x14ac:dyDescent="0.25">
      <c r="A135" s="50" t="s">
        <v>449</v>
      </c>
      <c r="B135" s="52"/>
      <c r="C135" s="7" t="s">
        <v>118</v>
      </c>
      <c r="D135" s="7" t="s">
        <v>769</v>
      </c>
      <c r="E135" s="7"/>
      <c r="F135" s="55"/>
      <c r="G135" s="6"/>
      <c r="H135" s="6"/>
      <c r="I135" s="10" t="s">
        <v>110</v>
      </c>
      <c r="J135" s="11" t="s">
        <v>798</v>
      </c>
      <c r="K135" s="102" t="s">
        <v>512</v>
      </c>
      <c r="L135" s="98"/>
      <c r="M135" s="98">
        <v>1000</v>
      </c>
      <c r="N135" s="60" t="s">
        <v>771</v>
      </c>
      <c r="O135" s="88"/>
      <c r="P135" s="60" t="s">
        <v>799</v>
      </c>
      <c r="Q135" s="60"/>
      <c r="R135" s="60"/>
      <c r="S135" s="89"/>
      <c r="T135" s="106"/>
      <c r="U135" s="88"/>
      <c r="V135" s="91"/>
      <c r="W135" s="12" t="s">
        <v>515</v>
      </c>
      <c r="X135" s="103"/>
      <c r="Y135" s="6" t="s">
        <v>800</v>
      </c>
      <c r="Z135" s="64" t="s">
        <v>517</v>
      </c>
      <c r="AA135" s="12">
        <v>7</v>
      </c>
      <c r="AB135" s="6" t="s">
        <v>148</v>
      </c>
      <c r="AC135" s="64">
        <v>3060</v>
      </c>
      <c r="AJ135" s="60"/>
      <c r="AK135" s="67" t="s">
        <v>518</v>
      </c>
      <c r="AN135" s="60"/>
      <c r="AO135" s="60"/>
      <c r="AP135" s="60"/>
      <c r="AQ135" s="60"/>
      <c r="AR135" s="72"/>
      <c r="AS135" s="60"/>
      <c r="AT135" s="7"/>
      <c r="AU135" s="7"/>
      <c r="AV135" s="92"/>
      <c r="AW135" s="93"/>
      <c r="AX135" s="77"/>
      <c r="AY135" s="80"/>
      <c r="AZ135" s="94"/>
      <c r="BA135" s="94"/>
      <c r="BB135" s="80" t="s">
        <v>519</v>
      </c>
      <c r="BC135" s="95"/>
      <c r="BD135" s="92"/>
      <c r="BE135" s="92"/>
      <c r="BF135" s="92"/>
      <c r="BG135" s="92"/>
      <c r="BH135" s="92"/>
      <c r="BI135" s="92"/>
      <c r="BJ135" s="92"/>
      <c r="BK135" s="92"/>
      <c r="BL135" s="92"/>
      <c r="BM135" s="92"/>
      <c r="BN135" s="92"/>
      <c r="BO135" s="92"/>
      <c r="BP135" s="92"/>
      <c r="BQ135" s="92"/>
      <c r="BS135" s="6"/>
      <c r="BT135" s="11"/>
      <c r="BU135" s="6"/>
      <c r="BV135" s="6"/>
    </row>
    <row r="136" spans="1:74" ht="15.75" x14ac:dyDescent="0.25">
      <c r="A136" s="50" t="s">
        <v>449</v>
      </c>
      <c r="B136" s="52"/>
      <c r="C136" s="7" t="s">
        <v>118</v>
      </c>
      <c r="D136" s="7" t="s">
        <v>769</v>
      </c>
      <c r="E136" s="7"/>
      <c r="F136" s="55"/>
      <c r="G136" s="6"/>
      <c r="H136" s="6"/>
      <c r="I136" s="10" t="s">
        <v>110</v>
      </c>
      <c r="J136" s="11" t="s">
        <v>801</v>
      </c>
      <c r="K136" s="102" t="s">
        <v>512</v>
      </c>
      <c r="L136" s="98"/>
      <c r="M136" s="98">
        <v>1000</v>
      </c>
      <c r="N136" s="60" t="s">
        <v>771</v>
      </c>
      <c r="O136" s="88"/>
      <c r="P136" s="60" t="s">
        <v>802</v>
      </c>
      <c r="Q136" s="60"/>
      <c r="R136" s="60"/>
      <c r="S136" s="89"/>
      <c r="T136" s="106"/>
      <c r="U136" s="88"/>
      <c r="V136" s="91"/>
      <c r="W136" s="12" t="s">
        <v>515</v>
      </c>
      <c r="X136" s="103"/>
      <c r="Y136" s="6" t="s">
        <v>800</v>
      </c>
      <c r="Z136" s="64" t="s">
        <v>522</v>
      </c>
      <c r="AA136" s="12">
        <v>7</v>
      </c>
      <c r="AB136" s="6" t="s">
        <v>148</v>
      </c>
      <c r="AC136" s="64">
        <v>3084</v>
      </c>
      <c r="AJ136" s="60"/>
      <c r="AK136" s="67" t="s">
        <v>450</v>
      </c>
      <c r="AN136" s="60"/>
      <c r="AO136" s="60"/>
      <c r="AP136" s="60"/>
      <c r="AQ136" s="60"/>
      <c r="AR136" s="72"/>
      <c r="AS136" s="60"/>
      <c r="AT136" s="7"/>
      <c r="AU136" s="7"/>
      <c r="AV136" s="92"/>
      <c r="AW136" s="93"/>
      <c r="AX136" s="77"/>
      <c r="AY136" s="80"/>
      <c r="AZ136" s="94"/>
      <c r="BA136" s="94"/>
      <c r="BB136" s="80" t="s">
        <v>519</v>
      </c>
      <c r="BC136" s="95"/>
      <c r="BD136" s="92"/>
      <c r="BE136" s="92"/>
      <c r="BF136" s="92"/>
      <c r="BG136" s="92"/>
      <c r="BH136" s="92"/>
      <c r="BI136" s="92"/>
      <c r="BJ136" s="92"/>
      <c r="BK136" s="92"/>
      <c r="BL136" s="92"/>
      <c r="BM136" s="92"/>
      <c r="BN136" s="92"/>
      <c r="BO136" s="92"/>
      <c r="BP136" s="92"/>
      <c r="BQ136" s="92"/>
      <c r="BS136" s="6"/>
      <c r="BT136" s="11"/>
      <c r="BU136" s="6"/>
      <c r="BV136" s="6"/>
    </row>
    <row r="137" spans="1:74" ht="15.75" x14ac:dyDescent="0.25">
      <c r="A137" s="50" t="s">
        <v>449</v>
      </c>
      <c r="B137" s="52"/>
      <c r="C137" s="7" t="s">
        <v>118</v>
      </c>
      <c r="D137" s="7" t="s">
        <v>769</v>
      </c>
      <c r="E137" s="7"/>
      <c r="F137" s="55"/>
      <c r="G137" s="6"/>
      <c r="H137" s="6"/>
      <c r="I137" s="10" t="s">
        <v>110</v>
      </c>
      <c r="J137" s="11" t="s">
        <v>803</v>
      </c>
      <c r="K137" s="102" t="s">
        <v>512</v>
      </c>
      <c r="L137" s="98"/>
      <c r="M137" s="98">
        <v>1000</v>
      </c>
      <c r="N137" s="60" t="s">
        <v>771</v>
      </c>
      <c r="O137" s="88"/>
      <c r="P137" s="60" t="s">
        <v>804</v>
      </c>
      <c r="Q137" s="60"/>
      <c r="R137" s="60"/>
      <c r="S137" s="89"/>
      <c r="T137" s="106"/>
      <c r="U137" s="88"/>
      <c r="V137" s="91"/>
      <c r="W137" s="12" t="s">
        <v>515</v>
      </c>
      <c r="X137" s="103"/>
      <c r="Y137" s="6" t="s">
        <v>805</v>
      </c>
      <c r="Z137" s="64" t="s">
        <v>517</v>
      </c>
      <c r="AA137" s="12">
        <v>12</v>
      </c>
      <c r="AB137" s="6" t="s">
        <v>148</v>
      </c>
      <c r="AC137" s="64">
        <v>3060</v>
      </c>
      <c r="AJ137" s="60"/>
      <c r="AK137" s="67" t="s">
        <v>518</v>
      </c>
      <c r="AN137" s="60"/>
      <c r="AO137" s="60"/>
      <c r="AP137" s="60"/>
      <c r="AQ137" s="60"/>
      <c r="AR137" s="72"/>
      <c r="AS137" s="60"/>
      <c r="AT137" s="7"/>
      <c r="AU137" s="7"/>
      <c r="AV137" s="92"/>
      <c r="AW137" s="93"/>
      <c r="AX137" s="77"/>
      <c r="AY137" s="80"/>
      <c r="AZ137" s="94"/>
      <c r="BA137" s="94"/>
      <c r="BB137" s="80" t="s">
        <v>519</v>
      </c>
      <c r="BC137" s="95"/>
      <c r="BD137" s="92"/>
      <c r="BE137" s="92"/>
      <c r="BF137" s="92"/>
      <c r="BG137" s="92"/>
      <c r="BH137" s="92"/>
      <c r="BI137" s="92"/>
      <c r="BJ137" s="92"/>
      <c r="BK137" s="92"/>
      <c r="BL137" s="92"/>
      <c r="BM137" s="92"/>
      <c r="BN137" s="92"/>
      <c r="BO137" s="92"/>
      <c r="BP137" s="92"/>
      <c r="BQ137" s="92"/>
      <c r="BS137" s="6"/>
      <c r="BT137" s="11"/>
      <c r="BU137" s="6"/>
      <c r="BV137" s="6"/>
    </row>
    <row r="138" spans="1:74" ht="15.75" x14ac:dyDescent="0.25">
      <c r="A138" s="50" t="s">
        <v>449</v>
      </c>
      <c r="B138" s="52"/>
      <c r="C138" s="7" t="s">
        <v>118</v>
      </c>
      <c r="D138" s="7" t="s">
        <v>769</v>
      </c>
      <c r="E138" s="7"/>
      <c r="F138" s="55"/>
      <c r="G138" s="6"/>
      <c r="H138" s="6"/>
      <c r="I138" s="10" t="s">
        <v>110</v>
      </c>
      <c r="J138" s="11" t="s">
        <v>806</v>
      </c>
      <c r="K138" s="102" t="s">
        <v>512</v>
      </c>
      <c r="L138" s="98"/>
      <c r="M138" s="98">
        <v>1000</v>
      </c>
      <c r="N138" s="60" t="s">
        <v>771</v>
      </c>
      <c r="O138" s="88"/>
      <c r="P138" s="60" t="s">
        <v>807</v>
      </c>
      <c r="Q138" s="60"/>
      <c r="R138" s="60"/>
      <c r="S138" s="89"/>
      <c r="T138" s="106"/>
      <c r="U138" s="88"/>
      <c r="V138" s="91"/>
      <c r="W138" s="12" t="s">
        <v>515</v>
      </c>
      <c r="X138" s="103"/>
      <c r="Y138" s="6" t="s">
        <v>805</v>
      </c>
      <c r="Z138" s="64" t="s">
        <v>522</v>
      </c>
      <c r="AA138" s="12">
        <v>12</v>
      </c>
      <c r="AB138" s="6" t="s">
        <v>148</v>
      </c>
      <c r="AC138" s="64">
        <v>3084</v>
      </c>
      <c r="AJ138" s="60"/>
      <c r="AK138" s="67" t="s">
        <v>450</v>
      </c>
      <c r="AN138" s="60"/>
      <c r="AO138" s="60"/>
      <c r="AP138" s="60"/>
      <c r="AQ138" s="60"/>
      <c r="AR138" s="72"/>
      <c r="AS138" s="60"/>
      <c r="AT138" s="7"/>
      <c r="AU138" s="7"/>
      <c r="AV138" s="92"/>
      <c r="AW138" s="93"/>
      <c r="AX138" s="77"/>
      <c r="AY138" s="80"/>
      <c r="AZ138" s="94"/>
      <c r="BA138" s="94"/>
      <c r="BB138" s="80" t="s">
        <v>519</v>
      </c>
      <c r="BC138" s="95"/>
      <c r="BD138" s="92"/>
      <c r="BE138" s="92"/>
      <c r="BF138" s="92"/>
      <c r="BG138" s="92"/>
      <c r="BH138" s="92"/>
      <c r="BI138" s="92"/>
      <c r="BJ138" s="92"/>
      <c r="BK138" s="92"/>
      <c r="BL138" s="92"/>
      <c r="BM138" s="92"/>
      <c r="BN138" s="92"/>
      <c r="BO138" s="92"/>
      <c r="BP138" s="92"/>
      <c r="BQ138" s="92"/>
      <c r="BS138" s="6"/>
      <c r="BT138" s="11"/>
      <c r="BU138" s="6"/>
      <c r="BV138" s="6"/>
    </row>
    <row r="139" spans="1:74" ht="15.75" x14ac:dyDescent="0.25">
      <c r="A139" s="50" t="s">
        <v>449</v>
      </c>
      <c r="B139" s="52"/>
      <c r="C139" s="7" t="s">
        <v>118</v>
      </c>
      <c r="D139" s="7" t="s">
        <v>769</v>
      </c>
      <c r="E139" s="7"/>
      <c r="F139" s="55"/>
      <c r="G139" s="6"/>
      <c r="H139" s="6"/>
      <c r="I139" s="10" t="s">
        <v>110</v>
      </c>
      <c r="J139" s="11" t="s">
        <v>808</v>
      </c>
      <c r="K139" s="102" t="s">
        <v>512</v>
      </c>
      <c r="L139" s="98"/>
      <c r="M139" s="98">
        <v>1000</v>
      </c>
      <c r="N139" s="60" t="s">
        <v>771</v>
      </c>
      <c r="O139" s="88"/>
      <c r="P139" s="60" t="s">
        <v>809</v>
      </c>
      <c r="Q139" s="60"/>
      <c r="R139" s="60"/>
      <c r="S139" s="89"/>
      <c r="T139" s="106"/>
      <c r="U139" s="88"/>
      <c r="V139" s="91"/>
      <c r="W139" s="12" t="s">
        <v>515</v>
      </c>
      <c r="X139" s="103"/>
      <c r="Y139" s="6" t="s">
        <v>810</v>
      </c>
      <c r="Z139" s="64" t="s">
        <v>517</v>
      </c>
      <c r="AA139" s="12">
        <v>13</v>
      </c>
      <c r="AB139" s="6" t="s">
        <v>148</v>
      </c>
      <c r="AC139" s="64">
        <v>3060</v>
      </c>
      <c r="AJ139" s="60"/>
      <c r="AK139" s="67" t="s">
        <v>518</v>
      </c>
      <c r="AN139" s="60"/>
      <c r="AO139" s="60"/>
      <c r="AP139" s="60"/>
      <c r="AQ139" s="60"/>
      <c r="AR139" s="72"/>
      <c r="AS139" s="60"/>
      <c r="AT139" s="7"/>
      <c r="AU139" s="7"/>
      <c r="AV139" s="92"/>
      <c r="AW139" s="93"/>
      <c r="AX139" s="77"/>
      <c r="AY139" s="80"/>
      <c r="AZ139" s="94"/>
      <c r="BA139" s="94"/>
      <c r="BB139" s="80" t="s">
        <v>519</v>
      </c>
      <c r="BC139" s="95"/>
      <c r="BD139" s="92"/>
      <c r="BE139" s="92"/>
      <c r="BF139" s="92"/>
      <c r="BG139" s="92"/>
      <c r="BH139" s="92"/>
      <c r="BI139" s="92"/>
      <c r="BJ139" s="92"/>
      <c r="BK139" s="92"/>
      <c r="BL139" s="92"/>
      <c r="BM139" s="92"/>
      <c r="BN139" s="92"/>
      <c r="BO139" s="92"/>
      <c r="BP139" s="92"/>
      <c r="BQ139" s="92"/>
      <c r="BS139" s="6"/>
      <c r="BT139" s="11"/>
      <c r="BU139" s="6"/>
      <c r="BV139" s="6"/>
    </row>
    <row r="140" spans="1:74" ht="15.75" x14ac:dyDescent="0.25">
      <c r="A140" s="50" t="s">
        <v>449</v>
      </c>
      <c r="B140" s="52"/>
      <c r="C140" s="7" t="s">
        <v>118</v>
      </c>
      <c r="D140" s="7" t="s">
        <v>769</v>
      </c>
      <c r="E140" s="7"/>
      <c r="F140" s="55"/>
      <c r="G140" s="6"/>
      <c r="H140" s="6"/>
      <c r="I140" s="10" t="s">
        <v>110</v>
      </c>
      <c r="J140" s="11" t="s">
        <v>811</v>
      </c>
      <c r="K140" s="102" t="s">
        <v>512</v>
      </c>
      <c r="L140" s="98"/>
      <c r="M140" s="98">
        <v>1000</v>
      </c>
      <c r="N140" s="60" t="s">
        <v>771</v>
      </c>
      <c r="O140" s="88"/>
      <c r="P140" s="60" t="s">
        <v>812</v>
      </c>
      <c r="Q140" s="60"/>
      <c r="R140" s="60"/>
      <c r="S140" s="89"/>
      <c r="T140" s="106"/>
      <c r="U140" s="88"/>
      <c r="V140" s="91"/>
      <c r="W140" s="12" t="s">
        <v>515</v>
      </c>
      <c r="X140" s="103"/>
      <c r="Y140" s="6" t="s">
        <v>810</v>
      </c>
      <c r="Z140" s="64" t="s">
        <v>522</v>
      </c>
      <c r="AA140" s="12">
        <v>13</v>
      </c>
      <c r="AB140" s="6" t="s">
        <v>148</v>
      </c>
      <c r="AC140" s="64">
        <v>3084</v>
      </c>
      <c r="AJ140" s="60"/>
      <c r="AK140" s="67" t="s">
        <v>450</v>
      </c>
      <c r="AN140" s="60"/>
      <c r="AO140" s="60"/>
      <c r="AP140" s="60"/>
      <c r="AQ140" s="60"/>
      <c r="AR140" s="72"/>
      <c r="AS140" s="60"/>
      <c r="AT140" s="7"/>
      <c r="AU140" s="7"/>
      <c r="AV140" s="92"/>
      <c r="AW140" s="93"/>
      <c r="AX140" s="77"/>
      <c r="AY140" s="80"/>
      <c r="AZ140" s="94"/>
      <c r="BA140" s="94"/>
      <c r="BB140" s="80" t="s">
        <v>519</v>
      </c>
      <c r="BC140" s="95"/>
      <c r="BD140" s="92"/>
      <c r="BE140" s="92"/>
      <c r="BF140" s="92"/>
      <c r="BG140" s="92"/>
      <c r="BH140" s="92"/>
      <c r="BI140" s="92"/>
      <c r="BJ140" s="92"/>
      <c r="BK140" s="92"/>
      <c r="BL140" s="92"/>
      <c r="BM140" s="92"/>
      <c r="BN140" s="92"/>
      <c r="BO140" s="92"/>
      <c r="BP140" s="92"/>
      <c r="BQ140" s="92"/>
      <c r="BS140" s="6"/>
      <c r="BT140" s="11"/>
      <c r="BU140" s="6"/>
      <c r="BV140" s="6"/>
    </row>
    <row r="141" spans="1:74" ht="15.75" x14ac:dyDescent="0.25">
      <c r="A141" s="50" t="s">
        <v>449</v>
      </c>
      <c r="B141" s="52"/>
      <c r="C141" s="7" t="s">
        <v>118</v>
      </c>
      <c r="D141" s="7" t="s">
        <v>769</v>
      </c>
      <c r="E141" s="7"/>
      <c r="F141" s="55"/>
      <c r="G141" s="6"/>
      <c r="H141" s="6"/>
      <c r="I141" s="10" t="s">
        <v>110</v>
      </c>
      <c r="J141" s="11" t="s">
        <v>813</v>
      </c>
      <c r="K141" s="102" t="s">
        <v>512</v>
      </c>
      <c r="L141" s="98"/>
      <c r="M141" s="98">
        <v>1000</v>
      </c>
      <c r="N141" s="60" t="s">
        <v>771</v>
      </c>
      <c r="O141" s="88"/>
      <c r="P141" s="60" t="s">
        <v>814</v>
      </c>
      <c r="Q141" s="60"/>
      <c r="R141" s="60"/>
      <c r="S141" s="89"/>
      <c r="T141" s="106"/>
      <c r="U141" s="88"/>
      <c r="V141" s="91"/>
      <c r="W141" s="12" t="s">
        <v>515</v>
      </c>
      <c r="X141" s="103"/>
      <c r="Y141" s="6" t="s">
        <v>815</v>
      </c>
      <c r="Z141" s="64" t="s">
        <v>517</v>
      </c>
      <c r="AA141" s="12">
        <v>14</v>
      </c>
      <c r="AB141" s="6" t="s">
        <v>148</v>
      </c>
      <c r="AC141" s="64">
        <v>3060</v>
      </c>
      <c r="AJ141" s="60"/>
      <c r="AK141" s="67" t="s">
        <v>518</v>
      </c>
      <c r="AN141" s="60"/>
      <c r="AO141" s="60"/>
      <c r="AP141" s="60"/>
      <c r="AQ141" s="60"/>
      <c r="AR141" s="72"/>
      <c r="AS141" s="60"/>
      <c r="AT141" s="7"/>
      <c r="AU141" s="7"/>
      <c r="AV141" s="92"/>
      <c r="AW141" s="93"/>
      <c r="AX141" s="77"/>
      <c r="AY141" s="80"/>
      <c r="AZ141" s="94"/>
      <c r="BA141" s="94"/>
      <c r="BB141" s="80" t="s">
        <v>519</v>
      </c>
      <c r="BC141" s="95"/>
      <c r="BD141" s="92"/>
      <c r="BE141" s="92"/>
      <c r="BF141" s="92"/>
      <c r="BG141" s="92"/>
      <c r="BH141" s="92"/>
      <c r="BI141" s="92"/>
      <c r="BJ141" s="92"/>
      <c r="BK141" s="92"/>
      <c r="BL141" s="92"/>
      <c r="BM141" s="92"/>
      <c r="BN141" s="92"/>
      <c r="BO141" s="92"/>
      <c r="BP141" s="92"/>
      <c r="BQ141" s="92"/>
      <c r="BS141" s="6"/>
      <c r="BT141" s="11"/>
      <c r="BU141" s="6"/>
      <c r="BV141" s="6"/>
    </row>
    <row r="142" spans="1:74" ht="15.75" x14ac:dyDescent="0.25">
      <c r="A142" s="50" t="s">
        <v>449</v>
      </c>
      <c r="B142" s="52"/>
      <c r="C142" s="7" t="s">
        <v>118</v>
      </c>
      <c r="D142" s="7" t="s">
        <v>769</v>
      </c>
      <c r="E142" s="7"/>
      <c r="F142" s="55"/>
      <c r="G142" s="6"/>
      <c r="H142" s="6"/>
      <c r="I142" s="10" t="s">
        <v>110</v>
      </c>
      <c r="J142" s="11" t="s">
        <v>816</v>
      </c>
      <c r="K142" s="102" t="s">
        <v>512</v>
      </c>
      <c r="L142" s="98"/>
      <c r="M142" s="98">
        <v>1000</v>
      </c>
      <c r="N142" s="60" t="s">
        <v>771</v>
      </c>
      <c r="O142" s="88"/>
      <c r="P142" s="60" t="s">
        <v>817</v>
      </c>
      <c r="Q142" s="60"/>
      <c r="R142" s="60"/>
      <c r="S142" s="89"/>
      <c r="T142" s="106"/>
      <c r="U142" s="88"/>
      <c r="V142" s="91"/>
      <c r="W142" s="12" t="s">
        <v>515</v>
      </c>
      <c r="X142" s="103"/>
      <c r="Y142" s="6" t="s">
        <v>815</v>
      </c>
      <c r="Z142" s="64" t="s">
        <v>522</v>
      </c>
      <c r="AA142" s="12">
        <v>14</v>
      </c>
      <c r="AB142" s="6" t="s">
        <v>148</v>
      </c>
      <c r="AC142" s="64">
        <v>3084</v>
      </c>
      <c r="AJ142" s="60"/>
      <c r="AK142" s="67" t="s">
        <v>450</v>
      </c>
      <c r="AN142" s="60"/>
      <c r="AO142" s="60"/>
      <c r="AP142" s="60"/>
      <c r="AQ142" s="60"/>
      <c r="AR142" s="72"/>
      <c r="AS142" s="60"/>
      <c r="AT142" s="7"/>
      <c r="AU142" s="7"/>
      <c r="AV142" s="92"/>
      <c r="AW142" s="93"/>
      <c r="AX142" s="77"/>
      <c r="AY142" s="80"/>
      <c r="AZ142" s="94"/>
      <c r="BA142" s="94"/>
      <c r="BB142" s="80" t="s">
        <v>519</v>
      </c>
      <c r="BC142" s="95"/>
      <c r="BD142" s="92"/>
      <c r="BE142" s="92"/>
      <c r="BF142" s="92"/>
      <c r="BG142" s="92"/>
      <c r="BH142" s="92"/>
      <c r="BI142" s="92"/>
      <c r="BJ142" s="92"/>
      <c r="BK142" s="92"/>
      <c r="BL142" s="92"/>
      <c r="BM142" s="92"/>
      <c r="BN142" s="92"/>
      <c r="BO142" s="92"/>
      <c r="BP142" s="92"/>
      <c r="BQ142" s="92"/>
      <c r="BS142" s="6"/>
      <c r="BT142" s="11"/>
      <c r="BU142" s="6"/>
      <c r="BV142" s="6"/>
    </row>
    <row r="143" spans="1:74" ht="15.75" x14ac:dyDescent="0.25">
      <c r="A143" s="50" t="s">
        <v>449</v>
      </c>
      <c r="B143" s="52"/>
      <c r="C143" s="7" t="s">
        <v>118</v>
      </c>
      <c r="D143" s="7" t="s">
        <v>769</v>
      </c>
      <c r="E143" s="7"/>
      <c r="F143" s="55"/>
      <c r="G143" s="6"/>
      <c r="H143" s="6"/>
      <c r="I143" s="10" t="s">
        <v>110</v>
      </c>
      <c r="J143" s="11" t="s">
        <v>818</v>
      </c>
      <c r="K143" s="102" t="s">
        <v>512</v>
      </c>
      <c r="L143" s="98"/>
      <c r="M143" s="98">
        <v>1000</v>
      </c>
      <c r="N143" s="60" t="s">
        <v>771</v>
      </c>
      <c r="O143" s="88"/>
      <c r="P143" s="60" t="s">
        <v>819</v>
      </c>
      <c r="Q143" s="60"/>
      <c r="R143" s="60"/>
      <c r="S143" s="89"/>
      <c r="T143" s="106"/>
      <c r="U143" s="88"/>
      <c r="V143" s="91"/>
      <c r="W143" s="12" t="s">
        <v>515</v>
      </c>
      <c r="X143" s="103"/>
      <c r="Y143" s="6" t="s">
        <v>820</v>
      </c>
      <c r="Z143" s="64" t="s">
        <v>517</v>
      </c>
      <c r="AA143" s="12">
        <v>15</v>
      </c>
      <c r="AB143" s="6" t="s">
        <v>148</v>
      </c>
      <c r="AC143" s="64">
        <v>3060</v>
      </c>
      <c r="AJ143" s="60"/>
      <c r="AK143" s="67" t="s">
        <v>518</v>
      </c>
      <c r="AN143" s="60"/>
      <c r="AO143" s="60"/>
      <c r="AP143" s="60"/>
      <c r="AQ143" s="60"/>
      <c r="AR143" s="72"/>
      <c r="AS143" s="60"/>
      <c r="AT143" s="7"/>
      <c r="AU143" s="7"/>
      <c r="AV143" s="92"/>
      <c r="AW143" s="93"/>
      <c r="AX143" s="77"/>
      <c r="AY143" s="80"/>
      <c r="AZ143" s="94"/>
      <c r="BA143" s="94"/>
      <c r="BB143" s="80" t="s">
        <v>519</v>
      </c>
      <c r="BC143" s="95"/>
      <c r="BD143" s="92"/>
      <c r="BE143" s="92"/>
      <c r="BF143" s="92"/>
      <c r="BG143" s="92"/>
      <c r="BH143" s="92"/>
      <c r="BI143" s="92"/>
      <c r="BJ143" s="92"/>
      <c r="BK143" s="92"/>
      <c r="BL143" s="92"/>
      <c r="BM143" s="92"/>
      <c r="BN143" s="92"/>
      <c r="BO143" s="92"/>
      <c r="BP143" s="92"/>
      <c r="BQ143" s="92"/>
      <c r="BS143" s="6"/>
      <c r="BT143" s="11"/>
      <c r="BU143" s="6"/>
      <c r="BV143" s="6"/>
    </row>
    <row r="144" spans="1:74" ht="15.75" x14ac:dyDescent="0.25">
      <c r="A144" s="50" t="s">
        <v>449</v>
      </c>
      <c r="B144" s="52"/>
      <c r="C144" s="7" t="s">
        <v>118</v>
      </c>
      <c r="D144" s="7" t="s">
        <v>769</v>
      </c>
      <c r="E144" s="7"/>
      <c r="F144" s="55"/>
      <c r="G144" s="6"/>
      <c r="H144" s="6"/>
      <c r="I144" s="10" t="s">
        <v>110</v>
      </c>
      <c r="J144" s="11" t="s">
        <v>821</v>
      </c>
      <c r="K144" s="102" t="s">
        <v>512</v>
      </c>
      <c r="L144" s="98"/>
      <c r="M144" s="98">
        <v>1000</v>
      </c>
      <c r="N144" s="60" t="s">
        <v>771</v>
      </c>
      <c r="O144" s="88"/>
      <c r="P144" s="60" t="s">
        <v>822</v>
      </c>
      <c r="Q144" s="60"/>
      <c r="R144" s="60"/>
      <c r="S144" s="89"/>
      <c r="T144" s="106"/>
      <c r="U144" s="88"/>
      <c r="V144" s="91"/>
      <c r="W144" s="12" t="s">
        <v>515</v>
      </c>
      <c r="X144" s="103"/>
      <c r="Y144" s="6" t="s">
        <v>820</v>
      </c>
      <c r="Z144" s="64" t="s">
        <v>522</v>
      </c>
      <c r="AA144" s="12">
        <v>15</v>
      </c>
      <c r="AB144" s="6" t="s">
        <v>148</v>
      </c>
      <c r="AC144" s="64">
        <v>3084</v>
      </c>
      <c r="AJ144" s="60"/>
      <c r="AK144" s="67" t="s">
        <v>450</v>
      </c>
      <c r="AN144" s="60"/>
      <c r="AO144" s="60"/>
      <c r="AP144" s="60"/>
      <c r="AQ144" s="60"/>
      <c r="AR144" s="72"/>
      <c r="AS144" s="60"/>
      <c r="AT144" s="7"/>
      <c r="AU144" s="7"/>
      <c r="AV144" s="92"/>
      <c r="AW144" s="93"/>
      <c r="AX144" s="77"/>
      <c r="AY144" s="80"/>
      <c r="AZ144" s="94"/>
      <c r="BA144" s="94"/>
      <c r="BB144" s="80" t="s">
        <v>519</v>
      </c>
      <c r="BC144" s="95"/>
      <c r="BD144" s="92"/>
      <c r="BE144" s="92"/>
      <c r="BF144" s="92"/>
      <c r="BG144" s="92"/>
      <c r="BH144" s="92"/>
      <c r="BI144" s="92"/>
      <c r="BJ144" s="92"/>
      <c r="BK144" s="92"/>
      <c r="BL144" s="92"/>
      <c r="BM144" s="92"/>
      <c r="BN144" s="92"/>
      <c r="BO144" s="92"/>
      <c r="BP144" s="92"/>
      <c r="BQ144" s="92"/>
      <c r="BS144" s="6"/>
      <c r="BT144" s="11"/>
      <c r="BU144" s="6"/>
      <c r="BV144" s="6"/>
    </row>
    <row r="145" spans="1:74" ht="15.75" x14ac:dyDescent="0.25">
      <c r="A145" s="50" t="s">
        <v>449</v>
      </c>
      <c r="B145" s="52"/>
      <c r="C145" s="7" t="s">
        <v>118</v>
      </c>
      <c r="D145" s="7" t="s">
        <v>769</v>
      </c>
      <c r="E145" s="7"/>
      <c r="F145" s="55"/>
      <c r="G145" s="6"/>
      <c r="H145" s="6"/>
      <c r="I145" s="10" t="s">
        <v>110</v>
      </c>
      <c r="J145" s="11" t="s">
        <v>823</v>
      </c>
      <c r="K145" s="102" t="s">
        <v>512</v>
      </c>
      <c r="L145" s="98"/>
      <c r="M145" s="98">
        <v>1000</v>
      </c>
      <c r="N145" s="60" t="s">
        <v>771</v>
      </c>
      <c r="O145" s="88"/>
      <c r="P145" s="60" t="s">
        <v>824</v>
      </c>
      <c r="Q145" s="60"/>
      <c r="R145" s="60"/>
      <c r="S145" s="89"/>
      <c r="T145" s="106"/>
      <c r="U145" s="88"/>
      <c r="V145" s="91"/>
      <c r="W145" s="12" t="s">
        <v>515</v>
      </c>
      <c r="X145" s="103"/>
      <c r="Y145" s="6" t="s">
        <v>825</v>
      </c>
      <c r="Z145" s="64" t="s">
        <v>517</v>
      </c>
      <c r="AA145" s="12">
        <v>16</v>
      </c>
      <c r="AB145" s="6" t="s">
        <v>148</v>
      </c>
      <c r="AC145" s="64">
        <v>3060</v>
      </c>
      <c r="AJ145" s="60"/>
      <c r="AK145" s="67" t="s">
        <v>518</v>
      </c>
      <c r="AN145" s="60"/>
      <c r="AO145" s="60"/>
      <c r="AP145" s="60"/>
      <c r="AQ145" s="60"/>
      <c r="AR145" s="72"/>
      <c r="AS145" s="60"/>
      <c r="AT145" s="7"/>
      <c r="AU145" s="7"/>
      <c r="AV145" s="92"/>
      <c r="AW145" s="93"/>
      <c r="AX145" s="77"/>
      <c r="AY145" s="80"/>
      <c r="AZ145" s="94"/>
      <c r="BA145" s="94"/>
      <c r="BB145" s="80" t="s">
        <v>519</v>
      </c>
      <c r="BC145" s="95"/>
      <c r="BD145" s="92"/>
      <c r="BE145" s="92"/>
      <c r="BF145" s="92"/>
      <c r="BG145" s="92"/>
      <c r="BH145" s="92"/>
      <c r="BI145" s="92"/>
      <c r="BJ145" s="92"/>
      <c r="BK145" s="92"/>
      <c r="BL145" s="92"/>
      <c r="BM145" s="92"/>
      <c r="BN145" s="92"/>
      <c r="BO145" s="92"/>
      <c r="BP145" s="92"/>
      <c r="BQ145" s="92"/>
      <c r="BS145" s="6"/>
      <c r="BT145" s="11"/>
      <c r="BU145" s="6"/>
      <c r="BV145" s="6"/>
    </row>
    <row r="146" spans="1:74" ht="15.75" x14ac:dyDescent="0.25">
      <c r="A146" s="50" t="s">
        <v>449</v>
      </c>
      <c r="B146" s="52"/>
      <c r="C146" s="7" t="s">
        <v>118</v>
      </c>
      <c r="D146" s="7" t="s">
        <v>769</v>
      </c>
      <c r="E146" s="7"/>
      <c r="F146" s="55"/>
      <c r="G146" s="6"/>
      <c r="H146" s="6"/>
      <c r="I146" s="10" t="s">
        <v>110</v>
      </c>
      <c r="J146" s="11" t="s">
        <v>826</v>
      </c>
      <c r="K146" s="102" t="s">
        <v>512</v>
      </c>
      <c r="L146" s="98"/>
      <c r="M146" s="98">
        <v>1000</v>
      </c>
      <c r="N146" s="60" t="s">
        <v>771</v>
      </c>
      <c r="O146" s="88"/>
      <c r="P146" s="60" t="s">
        <v>827</v>
      </c>
      <c r="Q146" s="60"/>
      <c r="R146" s="60"/>
      <c r="S146" s="89"/>
      <c r="T146" s="106"/>
      <c r="U146" s="88"/>
      <c r="V146" s="91"/>
      <c r="W146" s="12" t="s">
        <v>515</v>
      </c>
      <c r="X146" s="103"/>
      <c r="Y146" s="6" t="s">
        <v>825</v>
      </c>
      <c r="Z146" s="64" t="s">
        <v>522</v>
      </c>
      <c r="AA146" s="12">
        <v>16</v>
      </c>
      <c r="AB146" s="6" t="s">
        <v>148</v>
      </c>
      <c r="AC146" s="64">
        <v>3084</v>
      </c>
      <c r="AJ146" s="60"/>
      <c r="AK146" s="67" t="s">
        <v>450</v>
      </c>
      <c r="AN146" s="60"/>
      <c r="AO146" s="60"/>
      <c r="AP146" s="60"/>
      <c r="AQ146" s="60"/>
      <c r="AR146" s="72"/>
      <c r="AS146" s="60"/>
      <c r="AT146" s="7"/>
      <c r="AU146" s="7"/>
      <c r="AV146" s="92"/>
      <c r="AW146" s="93"/>
      <c r="AX146" s="77"/>
      <c r="AY146" s="80"/>
      <c r="AZ146" s="94"/>
      <c r="BA146" s="94"/>
      <c r="BB146" s="80" t="s">
        <v>519</v>
      </c>
      <c r="BC146" s="95"/>
      <c r="BD146" s="92"/>
      <c r="BE146" s="92"/>
      <c r="BF146" s="92"/>
      <c r="BG146" s="92"/>
      <c r="BH146" s="92"/>
      <c r="BI146" s="92"/>
      <c r="BJ146" s="92"/>
      <c r="BK146" s="92"/>
      <c r="BL146" s="92"/>
      <c r="BM146" s="92"/>
      <c r="BN146" s="92"/>
      <c r="BO146" s="92"/>
      <c r="BP146" s="92"/>
      <c r="BQ146" s="92"/>
      <c r="BS146" s="6"/>
      <c r="BT146" s="11"/>
      <c r="BU146" s="6"/>
      <c r="BV146" s="6"/>
    </row>
    <row r="147" spans="1:74" ht="15.75" x14ac:dyDescent="0.25">
      <c r="A147" s="50" t="s">
        <v>449</v>
      </c>
      <c r="B147" s="52"/>
      <c r="C147" s="7" t="s">
        <v>118</v>
      </c>
      <c r="D147" s="7" t="s">
        <v>769</v>
      </c>
      <c r="E147" s="7"/>
      <c r="F147" s="55"/>
      <c r="G147" s="6"/>
      <c r="H147" s="6"/>
      <c r="I147" s="10" t="s">
        <v>110</v>
      </c>
      <c r="J147" s="11" t="s">
        <v>828</v>
      </c>
      <c r="K147" s="102" t="s">
        <v>512</v>
      </c>
      <c r="L147" s="98"/>
      <c r="M147" s="98">
        <v>1000</v>
      </c>
      <c r="N147" s="60" t="s">
        <v>771</v>
      </c>
      <c r="O147" s="88"/>
      <c r="P147" s="60" t="s">
        <v>829</v>
      </c>
      <c r="Q147" s="60"/>
      <c r="R147" s="60"/>
      <c r="S147" s="89"/>
      <c r="T147" s="106"/>
      <c r="U147" s="88"/>
      <c r="V147" s="91"/>
      <c r="W147" s="12" t="s">
        <v>515</v>
      </c>
      <c r="X147" s="103"/>
      <c r="Y147" s="6" t="s">
        <v>830</v>
      </c>
      <c r="Z147" s="64" t="s">
        <v>517</v>
      </c>
      <c r="AA147" s="12">
        <v>17</v>
      </c>
      <c r="AB147" s="6" t="s">
        <v>148</v>
      </c>
      <c r="AC147" s="64">
        <v>3060</v>
      </c>
      <c r="AJ147" s="60"/>
      <c r="AK147" s="67" t="s">
        <v>518</v>
      </c>
      <c r="AN147" s="60"/>
      <c r="AO147" s="60"/>
      <c r="AP147" s="60"/>
      <c r="AQ147" s="60"/>
      <c r="AR147" s="72"/>
      <c r="AS147" s="60"/>
      <c r="AT147" s="7"/>
      <c r="AU147" s="7"/>
      <c r="AV147" s="92"/>
      <c r="AW147" s="93"/>
      <c r="AX147" s="77"/>
      <c r="AY147" s="80"/>
      <c r="AZ147" s="94"/>
      <c r="BA147" s="94"/>
      <c r="BB147" s="80" t="s">
        <v>519</v>
      </c>
      <c r="BC147" s="95"/>
      <c r="BD147" s="92"/>
      <c r="BE147" s="92"/>
      <c r="BF147" s="92"/>
      <c r="BG147" s="92"/>
      <c r="BH147" s="92"/>
      <c r="BI147" s="92"/>
      <c r="BJ147" s="92"/>
      <c r="BK147" s="92"/>
      <c r="BL147" s="92"/>
      <c r="BM147" s="92"/>
      <c r="BN147" s="92"/>
      <c r="BO147" s="92"/>
      <c r="BP147" s="92"/>
      <c r="BQ147" s="92"/>
      <c r="BS147" s="6"/>
      <c r="BT147" s="11"/>
      <c r="BU147" s="6"/>
      <c r="BV147" s="6"/>
    </row>
    <row r="148" spans="1:74" ht="15.75" x14ac:dyDescent="0.25">
      <c r="A148" s="50" t="s">
        <v>449</v>
      </c>
      <c r="B148" s="52"/>
      <c r="C148" s="7" t="s">
        <v>118</v>
      </c>
      <c r="D148" s="7" t="s">
        <v>769</v>
      </c>
      <c r="E148" s="7"/>
      <c r="F148" s="55"/>
      <c r="G148" s="6"/>
      <c r="H148" s="6"/>
      <c r="I148" s="10" t="s">
        <v>110</v>
      </c>
      <c r="J148" s="11" t="s">
        <v>831</v>
      </c>
      <c r="K148" s="102" t="s">
        <v>512</v>
      </c>
      <c r="L148" s="98"/>
      <c r="M148" s="98">
        <v>1000</v>
      </c>
      <c r="N148" s="60" t="s">
        <v>771</v>
      </c>
      <c r="O148" s="88"/>
      <c r="P148" s="60" t="s">
        <v>832</v>
      </c>
      <c r="Q148" s="60"/>
      <c r="R148" s="60"/>
      <c r="S148" s="89"/>
      <c r="T148" s="106"/>
      <c r="U148" s="88"/>
      <c r="V148" s="91"/>
      <c r="W148" s="12" t="s">
        <v>515</v>
      </c>
      <c r="X148" s="103"/>
      <c r="Y148" s="6" t="s">
        <v>830</v>
      </c>
      <c r="Z148" s="64" t="s">
        <v>522</v>
      </c>
      <c r="AA148" s="12">
        <v>17</v>
      </c>
      <c r="AB148" s="6" t="s">
        <v>148</v>
      </c>
      <c r="AC148" s="64">
        <v>3084</v>
      </c>
      <c r="AJ148" s="60"/>
      <c r="AK148" s="67" t="s">
        <v>450</v>
      </c>
      <c r="AN148" s="60"/>
      <c r="AO148" s="60"/>
      <c r="AP148" s="60"/>
      <c r="AQ148" s="60"/>
      <c r="AR148" s="72"/>
      <c r="AS148" s="60"/>
      <c r="AT148" s="7"/>
      <c r="AU148" s="7"/>
      <c r="AV148" s="92"/>
      <c r="AW148" s="93"/>
      <c r="AX148" s="77"/>
      <c r="AY148" s="80"/>
      <c r="AZ148" s="94"/>
      <c r="BA148" s="94"/>
      <c r="BB148" s="80" t="s">
        <v>519</v>
      </c>
      <c r="BC148" s="95"/>
      <c r="BD148" s="92"/>
      <c r="BE148" s="92"/>
      <c r="BF148" s="92"/>
      <c r="BG148" s="92"/>
      <c r="BH148" s="92"/>
      <c r="BI148" s="92"/>
      <c r="BJ148" s="92"/>
      <c r="BK148" s="92"/>
      <c r="BL148" s="92"/>
      <c r="BM148" s="92"/>
      <c r="BN148" s="92"/>
      <c r="BO148" s="92"/>
      <c r="BP148" s="92"/>
      <c r="BQ148" s="92"/>
      <c r="BS148" s="6"/>
      <c r="BT148" s="11"/>
      <c r="BU148" s="6"/>
      <c r="BV148" s="6"/>
    </row>
    <row r="149" spans="1:74" ht="15.75" x14ac:dyDescent="0.25">
      <c r="A149" s="50" t="s">
        <v>449</v>
      </c>
      <c r="B149" s="52"/>
      <c r="C149" s="7" t="s">
        <v>118</v>
      </c>
      <c r="D149" s="7" t="s">
        <v>769</v>
      </c>
      <c r="E149" s="7"/>
      <c r="F149" s="55"/>
      <c r="G149" s="6"/>
      <c r="H149" s="6"/>
      <c r="I149" s="10" t="s">
        <v>110</v>
      </c>
      <c r="J149" s="11" t="s">
        <v>833</v>
      </c>
      <c r="K149" s="102" t="s">
        <v>512</v>
      </c>
      <c r="L149" s="98"/>
      <c r="M149" s="98">
        <v>1000</v>
      </c>
      <c r="N149" s="60" t="s">
        <v>771</v>
      </c>
      <c r="O149" s="88"/>
      <c r="P149" s="60" t="s">
        <v>834</v>
      </c>
      <c r="Q149" s="60"/>
      <c r="R149" s="60"/>
      <c r="S149" s="89"/>
      <c r="T149" s="106"/>
      <c r="U149" s="88"/>
      <c r="V149" s="91"/>
      <c r="W149" s="12" t="s">
        <v>515</v>
      </c>
      <c r="X149" s="103"/>
      <c r="Y149" s="6" t="s">
        <v>835</v>
      </c>
      <c r="Z149" s="64" t="s">
        <v>517</v>
      </c>
      <c r="AA149" s="12">
        <v>18</v>
      </c>
      <c r="AB149" s="6" t="s">
        <v>148</v>
      </c>
      <c r="AC149" s="64">
        <v>3060</v>
      </c>
      <c r="AJ149" s="60"/>
      <c r="AK149" s="67" t="s">
        <v>518</v>
      </c>
      <c r="AN149" s="60"/>
      <c r="AO149" s="60"/>
      <c r="AP149" s="60"/>
      <c r="AQ149" s="60"/>
      <c r="AR149" s="72"/>
      <c r="AS149" s="60"/>
      <c r="AT149" s="7"/>
      <c r="AU149" s="7"/>
      <c r="AV149" s="92"/>
      <c r="AW149" s="93"/>
      <c r="AX149" s="77"/>
      <c r="AY149" s="80"/>
      <c r="AZ149" s="94"/>
      <c r="BA149" s="94"/>
      <c r="BB149" s="80" t="s">
        <v>519</v>
      </c>
      <c r="BC149" s="95"/>
      <c r="BD149" s="92"/>
      <c r="BE149" s="92"/>
      <c r="BF149" s="92"/>
      <c r="BG149" s="92"/>
      <c r="BH149" s="92"/>
      <c r="BI149" s="92"/>
      <c r="BJ149" s="92"/>
      <c r="BK149" s="92"/>
      <c r="BL149" s="92"/>
      <c r="BM149" s="92"/>
      <c r="BN149" s="92"/>
      <c r="BO149" s="92"/>
      <c r="BP149" s="92"/>
      <c r="BQ149" s="92"/>
      <c r="BS149" s="6"/>
      <c r="BT149" s="11"/>
      <c r="BU149" s="6"/>
      <c r="BV149" s="6"/>
    </row>
    <row r="150" spans="1:74" ht="15.75" x14ac:dyDescent="0.25">
      <c r="A150" s="50" t="s">
        <v>449</v>
      </c>
      <c r="B150" s="52"/>
      <c r="C150" s="7" t="s">
        <v>118</v>
      </c>
      <c r="D150" s="7" t="s">
        <v>769</v>
      </c>
      <c r="E150" s="7"/>
      <c r="F150" s="55"/>
      <c r="G150" s="6"/>
      <c r="H150" s="6"/>
      <c r="I150" s="10" t="s">
        <v>110</v>
      </c>
      <c r="J150" s="11" t="s">
        <v>836</v>
      </c>
      <c r="K150" s="102" t="s">
        <v>512</v>
      </c>
      <c r="L150" s="98"/>
      <c r="M150" s="98">
        <v>1000</v>
      </c>
      <c r="N150" s="60" t="s">
        <v>771</v>
      </c>
      <c r="O150" s="88"/>
      <c r="P150" s="60" t="s">
        <v>837</v>
      </c>
      <c r="Q150" s="60"/>
      <c r="R150" s="60"/>
      <c r="S150" s="89"/>
      <c r="T150" s="106"/>
      <c r="U150" s="88"/>
      <c r="V150" s="91"/>
      <c r="W150" s="12" t="s">
        <v>515</v>
      </c>
      <c r="X150" s="103"/>
      <c r="Y150" s="6" t="s">
        <v>835</v>
      </c>
      <c r="Z150" s="64" t="s">
        <v>522</v>
      </c>
      <c r="AA150" s="12">
        <v>18</v>
      </c>
      <c r="AB150" s="6" t="s">
        <v>148</v>
      </c>
      <c r="AC150" s="64">
        <v>3084</v>
      </c>
      <c r="AJ150" s="60"/>
      <c r="AK150" s="67" t="s">
        <v>450</v>
      </c>
      <c r="AN150" s="60"/>
      <c r="AO150" s="60"/>
      <c r="AP150" s="60"/>
      <c r="AQ150" s="60"/>
      <c r="AR150" s="72"/>
      <c r="AS150" s="60"/>
      <c r="AT150" s="7"/>
      <c r="AU150" s="7"/>
      <c r="AV150" s="92"/>
      <c r="AW150" s="93"/>
      <c r="AX150" s="77"/>
      <c r="AY150" s="80"/>
      <c r="AZ150" s="94"/>
      <c r="BA150" s="94"/>
      <c r="BB150" s="80" t="s">
        <v>519</v>
      </c>
      <c r="BC150" s="95"/>
      <c r="BD150" s="92"/>
      <c r="BE150" s="92"/>
      <c r="BF150" s="92"/>
      <c r="BG150" s="92"/>
      <c r="BH150" s="92"/>
      <c r="BI150" s="92"/>
      <c r="BJ150" s="92"/>
      <c r="BK150" s="92"/>
      <c r="BL150" s="92"/>
      <c r="BM150" s="92"/>
      <c r="BN150" s="92"/>
      <c r="BO150" s="92"/>
      <c r="BP150" s="92"/>
      <c r="BQ150" s="92"/>
      <c r="BS150" s="6"/>
      <c r="BT150" s="11"/>
      <c r="BU150" s="6"/>
      <c r="BV150" s="6"/>
    </row>
    <row r="151" spans="1:74" ht="15.75" x14ac:dyDescent="0.25">
      <c r="A151" s="50" t="s">
        <v>449</v>
      </c>
      <c r="B151" s="52"/>
      <c r="C151" s="7" t="s">
        <v>118</v>
      </c>
      <c r="D151" s="7" t="s">
        <v>769</v>
      </c>
      <c r="E151" s="7"/>
      <c r="F151" s="55"/>
      <c r="G151" s="6"/>
      <c r="H151" s="6"/>
      <c r="I151" s="10" t="s">
        <v>110</v>
      </c>
      <c r="J151" s="11" t="s">
        <v>838</v>
      </c>
      <c r="K151" s="102" t="s">
        <v>512</v>
      </c>
      <c r="L151" s="98"/>
      <c r="M151" s="98">
        <v>1000</v>
      </c>
      <c r="N151" s="60" t="s">
        <v>771</v>
      </c>
      <c r="O151" s="88"/>
      <c r="P151" s="60" t="s">
        <v>839</v>
      </c>
      <c r="Q151" s="60"/>
      <c r="R151" s="60"/>
      <c r="S151" s="89"/>
      <c r="T151" s="106"/>
      <c r="U151" s="88"/>
      <c r="V151" s="91"/>
      <c r="W151" s="12" t="s">
        <v>515</v>
      </c>
      <c r="X151" s="103"/>
      <c r="Y151" s="6" t="s">
        <v>840</v>
      </c>
      <c r="Z151" s="64" t="s">
        <v>517</v>
      </c>
      <c r="AA151" s="12">
        <v>19</v>
      </c>
      <c r="AB151" s="6" t="s">
        <v>148</v>
      </c>
      <c r="AC151" s="64">
        <v>3060</v>
      </c>
      <c r="AJ151" s="60"/>
      <c r="AK151" s="67" t="s">
        <v>518</v>
      </c>
      <c r="AN151" s="60"/>
      <c r="AO151" s="60"/>
      <c r="AP151" s="60"/>
      <c r="AQ151" s="60"/>
      <c r="AR151" s="72"/>
      <c r="AS151" s="60"/>
      <c r="AT151" s="7"/>
      <c r="AU151" s="7"/>
      <c r="AV151" s="92"/>
      <c r="AW151" s="93"/>
      <c r="AX151" s="77"/>
      <c r="AY151" s="80"/>
      <c r="AZ151" s="94"/>
      <c r="BA151" s="94"/>
      <c r="BB151" s="80" t="s">
        <v>519</v>
      </c>
      <c r="BC151" s="95"/>
      <c r="BD151" s="92"/>
      <c r="BE151" s="92"/>
      <c r="BF151" s="92"/>
      <c r="BG151" s="92"/>
      <c r="BH151" s="92"/>
      <c r="BI151" s="92"/>
      <c r="BJ151" s="92"/>
      <c r="BK151" s="92"/>
      <c r="BL151" s="92"/>
      <c r="BM151" s="92"/>
      <c r="BN151" s="92"/>
      <c r="BO151" s="92"/>
      <c r="BP151" s="92"/>
      <c r="BQ151" s="92"/>
      <c r="BS151" s="6"/>
      <c r="BT151" s="11"/>
      <c r="BU151" s="6"/>
      <c r="BV151" s="6"/>
    </row>
    <row r="152" spans="1:74" ht="15.75" x14ac:dyDescent="0.25">
      <c r="A152" s="50" t="s">
        <v>449</v>
      </c>
      <c r="B152" s="52"/>
      <c r="C152" s="7" t="s">
        <v>118</v>
      </c>
      <c r="D152" s="7" t="s">
        <v>769</v>
      </c>
      <c r="E152" s="7"/>
      <c r="F152" s="55"/>
      <c r="G152" s="6"/>
      <c r="H152" s="6"/>
      <c r="I152" s="10" t="s">
        <v>110</v>
      </c>
      <c r="J152" s="11" t="s">
        <v>841</v>
      </c>
      <c r="K152" s="102" t="s">
        <v>512</v>
      </c>
      <c r="L152" s="98"/>
      <c r="M152" s="98">
        <v>1000</v>
      </c>
      <c r="N152" s="60" t="s">
        <v>771</v>
      </c>
      <c r="O152" s="88"/>
      <c r="P152" s="60" t="s">
        <v>842</v>
      </c>
      <c r="Q152" s="60"/>
      <c r="R152" s="60"/>
      <c r="S152" s="89"/>
      <c r="T152" s="106"/>
      <c r="U152" s="88"/>
      <c r="V152" s="91"/>
      <c r="W152" s="12" t="s">
        <v>515</v>
      </c>
      <c r="X152" s="103"/>
      <c r="Y152" s="6" t="s">
        <v>840</v>
      </c>
      <c r="Z152" s="64" t="s">
        <v>522</v>
      </c>
      <c r="AA152" s="12">
        <v>19</v>
      </c>
      <c r="AB152" s="6" t="s">
        <v>148</v>
      </c>
      <c r="AC152" s="64">
        <v>3084</v>
      </c>
      <c r="AJ152" s="60"/>
      <c r="AK152" s="67" t="s">
        <v>450</v>
      </c>
      <c r="AN152" s="60"/>
      <c r="AO152" s="60"/>
      <c r="AP152" s="60"/>
      <c r="AQ152" s="60"/>
      <c r="AR152" s="72"/>
      <c r="AS152" s="60"/>
      <c r="AT152" s="7"/>
      <c r="AU152" s="7"/>
      <c r="AV152" s="92"/>
      <c r="AW152" s="93"/>
      <c r="AX152" s="77"/>
      <c r="AY152" s="80"/>
      <c r="AZ152" s="94"/>
      <c r="BA152" s="94"/>
      <c r="BB152" s="80" t="s">
        <v>519</v>
      </c>
      <c r="BC152" s="95"/>
      <c r="BD152" s="92"/>
      <c r="BE152" s="92"/>
      <c r="BF152" s="92"/>
      <c r="BG152" s="92"/>
      <c r="BH152" s="92"/>
      <c r="BI152" s="92"/>
      <c r="BJ152" s="92"/>
      <c r="BK152" s="92"/>
      <c r="BL152" s="92"/>
      <c r="BM152" s="92"/>
      <c r="BN152" s="92"/>
      <c r="BO152" s="92"/>
      <c r="BP152" s="92"/>
      <c r="BQ152" s="92"/>
      <c r="BS152" s="6"/>
      <c r="BT152" s="11"/>
      <c r="BU152" s="6"/>
      <c r="BV152" s="6"/>
    </row>
    <row r="153" spans="1:74" ht="15.75" x14ac:dyDescent="0.25">
      <c r="A153" s="50" t="s">
        <v>449</v>
      </c>
      <c r="B153" s="52"/>
      <c r="C153" s="7" t="s">
        <v>118</v>
      </c>
      <c r="D153" s="7" t="s">
        <v>769</v>
      </c>
      <c r="E153" s="7"/>
      <c r="F153" s="55"/>
      <c r="G153" s="6"/>
      <c r="H153" s="6"/>
      <c r="I153" s="10" t="s">
        <v>110</v>
      </c>
      <c r="J153" s="11" t="s">
        <v>843</v>
      </c>
      <c r="K153" s="102" t="s">
        <v>512</v>
      </c>
      <c r="L153" s="98"/>
      <c r="M153" s="98">
        <v>1000</v>
      </c>
      <c r="N153" s="60" t="s">
        <v>771</v>
      </c>
      <c r="O153" s="88"/>
      <c r="P153" s="60" t="s">
        <v>844</v>
      </c>
      <c r="Q153" s="60"/>
      <c r="R153" s="60"/>
      <c r="S153" s="89"/>
      <c r="T153" s="106"/>
      <c r="U153" s="88"/>
      <c r="V153" s="91"/>
      <c r="W153" s="12" t="s">
        <v>515</v>
      </c>
      <c r="X153" s="103"/>
      <c r="Y153" s="6" t="s">
        <v>845</v>
      </c>
      <c r="Z153" s="64" t="s">
        <v>517</v>
      </c>
      <c r="AA153" s="12">
        <v>20</v>
      </c>
      <c r="AB153" s="6" t="s">
        <v>148</v>
      </c>
      <c r="AC153" s="64">
        <v>3060</v>
      </c>
      <c r="AJ153" s="60"/>
      <c r="AK153" s="67" t="s">
        <v>518</v>
      </c>
      <c r="AN153" s="60"/>
      <c r="AO153" s="60"/>
      <c r="AP153" s="60"/>
      <c r="AQ153" s="60"/>
      <c r="AR153" s="72"/>
      <c r="AS153" s="60"/>
      <c r="AT153" s="7"/>
      <c r="AU153" s="7"/>
      <c r="AV153" s="92"/>
      <c r="AW153" s="93"/>
      <c r="AX153" s="77"/>
      <c r="AY153" s="80"/>
      <c r="AZ153" s="94"/>
      <c r="BA153" s="94"/>
      <c r="BB153" s="80" t="s">
        <v>519</v>
      </c>
      <c r="BC153" s="95"/>
      <c r="BD153" s="92"/>
      <c r="BE153" s="92"/>
      <c r="BF153" s="92"/>
      <c r="BG153" s="92"/>
      <c r="BH153" s="92"/>
      <c r="BI153" s="92"/>
      <c r="BJ153" s="92"/>
      <c r="BK153" s="92"/>
      <c r="BL153" s="92"/>
      <c r="BM153" s="92"/>
      <c r="BN153" s="92"/>
      <c r="BO153" s="92"/>
      <c r="BP153" s="92"/>
      <c r="BQ153" s="92"/>
      <c r="BS153" s="6"/>
      <c r="BT153" s="11"/>
      <c r="BU153" s="6"/>
      <c r="BV153" s="6"/>
    </row>
    <row r="154" spans="1:74" ht="15.75" x14ac:dyDescent="0.25">
      <c r="A154" s="50" t="s">
        <v>449</v>
      </c>
      <c r="B154" s="52"/>
      <c r="C154" s="7" t="s">
        <v>118</v>
      </c>
      <c r="D154" s="7" t="s">
        <v>769</v>
      </c>
      <c r="E154" s="7"/>
      <c r="F154" s="55"/>
      <c r="G154" s="6"/>
      <c r="H154" s="6"/>
      <c r="I154" s="10" t="s">
        <v>110</v>
      </c>
      <c r="J154" s="11" t="s">
        <v>846</v>
      </c>
      <c r="K154" s="102" t="s">
        <v>512</v>
      </c>
      <c r="L154" s="98"/>
      <c r="M154" s="98">
        <v>1000</v>
      </c>
      <c r="N154" s="60" t="s">
        <v>771</v>
      </c>
      <c r="O154" s="88"/>
      <c r="P154" s="60" t="s">
        <v>847</v>
      </c>
      <c r="Q154" s="60"/>
      <c r="R154" s="60"/>
      <c r="S154" s="89"/>
      <c r="T154" s="106"/>
      <c r="U154" s="88"/>
      <c r="V154" s="91"/>
      <c r="W154" s="12" t="s">
        <v>515</v>
      </c>
      <c r="X154" s="103"/>
      <c r="Y154" s="6" t="s">
        <v>845</v>
      </c>
      <c r="Z154" s="64" t="s">
        <v>522</v>
      </c>
      <c r="AA154" s="12">
        <v>20</v>
      </c>
      <c r="AB154" s="6" t="s">
        <v>148</v>
      </c>
      <c r="AC154" s="64">
        <v>3084</v>
      </c>
      <c r="AJ154" s="60"/>
      <c r="AK154" s="67" t="s">
        <v>450</v>
      </c>
      <c r="AN154" s="60"/>
      <c r="AO154" s="60"/>
      <c r="AP154" s="60"/>
      <c r="AQ154" s="60"/>
      <c r="AR154" s="72"/>
      <c r="AS154" s="60"/>
      <c r="AT154" s="7"/>
      <c r="AU154" s="7"/>
      <c r="AV154" s="92"/>
      <c r="AW154" s="93"/>
      <c r="AX154" s="77"/>
      <c r="AY154" s="80"/>
      <c r="AZ154" s="94"/>
      <c r="BA154" s="94"/>
      <c r="BB154" s="80" t="s">
        <v>519</v>
      </c>
      <c r="BC154" s="95"/>
      <c r="BD154" s="92"/>
      <c r="BE154" s="92"/>
      <c r="BF154" s="92"/>
      <c r="BG154" s="92"/>
      <c r="BH154" s="92"/>
      <c r="BI154" s="92"/>
      <c r="BJ154" s="92"/>
      <c r="BK154" s="92"/>
      <c r="BL154" s="92"/>
      <c r="BM154" s="92"/>
      <c r="BN154" s="92"/>
      <c r="BO154" s="92"/>
      <c r="BP154" s="92"/>
      <c r="BQ154" s="92"/>
      <c r="BS154" s="6"/>
      <c r="BT154" s="11"/>
      <c r="BU154" s="6"/>
      <c r="BV154" s="6"/>
    </row>
    <row r="155" spans="1:74" ht="15.75" x14ac:dyDescent="0.25">
      <c r="A155" s="50" t="s">
        <v>449</v>
      </c>
      <c r="B155" s="52"/>
      <c r="C155" s="7" t="s">
        <v>118</v>
      </c>
      <c r="D155" s="7" t="s">
        <v>769</v>
      </c>
      <c r="E155" s="7"/>
      <c r="F155" s="55"/>
      <c r="G155" s="6"/>
      <c r="H155" s="6"/>
      <c r="I155" s="10" t="s">
        <v>110</v>
      </c>
      <c r="J155" s="11" t="s">
        <v>848</v>
      </c>
      <c r="K155" s="102" t="s">
        <v>512</v>
      </c>
      <c r="L155" s="98"/>
      <c r="M155" s="98">
        <v>1000</v>
      </c>
      <c r="N155" s="60" t="s">
        <v>771</v>
      </c>
      <c r="O155" s="88"/>
      <c r="P155" s="60" t="s">
        <v>849</v>
      </c>
      <c r="Q155" s="60"/>
      <c r="R155" s="60"/>
      <c r="S155" s="89"/>
      <c r="T155" s="106"/>
      <c r="U155" s="88"/>
      <c r="V155" s="91"/>
      <c r="W155" s="12" t="s">
        <v>515</v>
      </c>
      <c r="X155" s="103"/>
      <c r="Y155" s="6" t="s">
        <v>850</v>
      </c>
      <c r="Z155" s="64" t="s">
        <v>517</v>
      </c>
      <c r="AA155" s="12">
        <v>21</v>
      </c>
      <c r="AB155" s="6" t="s">
        <v>148</v>
      </c>
      <c r="AC155" s="64">
        <v>3060</v>
      </c>
      <c r="AJ155" s="60"/>
      <c r="AK155" s="67" t="s">
        <v>518</v>
      </c>
      <c r="AN155" s="60"/>
      <c r="AO155" s="60"/>
      <c r="AP155" s="60"/>
      <c r="AQ155" s="60"/>
      <c r="AR155" s="72"/>
      <c r="AS155" s="60"/>
      <c r="AT155" s="7"/>
      <c r="AU155" s="7"/>
      <c r="AV155" s="92"/>
      <c r="AW155" s="93"/>
      <c r="AX155" s="77"/>
      <c r="AY155" s="80"/>
      <c r="AZ155" s="94"/>
      <c r="BA155" s="94"/>
      <c r="BB155" s="80" t="s">
        <v>519</v>
      </c>
      <c r="BC155" s="95"/>
      <c r="BD155" s="92"/>
      <c r="BE155" s="92"/>
      <c r="BF155" s="92"/>
      <c r="BG155" s="92"/>
      <c r="BH155" s="92"/>
      <c r="BI155" s="92"/>
      <c r="BJ155" s="92"/>
      <c r="BK155" s="92"/>
      <c r="BL155" s="92"/>
      <c r="BM155" s="92"/>
      <c r="BN155" s="92"/>
      <c r="BO155" s="92"/>
      <c r="BP155" s="92"/>
      <c r="BQ155" s="92"/>
      <c r="BS155" s="6"/>
      <c r="BT155" s="11"/>
      <c r="BU155" s="6"/>
      <c r="BV155" s="6"/>
    </row>
    <row r="156" spans="1:74" ht="15.75" x14ac:dyDescent="0.25">
      <c r="A156" s="50" t="s">
        <v>449</v>
      </c>
      <c r="B156" s="52"/>
      <c r="C156" s="7" t="s">
        <v>118</v>
      </c>
      <c r="D156" s="7" t="s">
        <v>769</v>
      </c>
      <c r="E156" s="7"/>
      <c r="F156" s="55"/>
      <c r="G156" s="6"/>
      <c r="H156" s="6"/>
      <c r="I156" s="10" t="s">
        <v>110</v>
      </c>
      <c r="J156" s="11" t="s">
        <v>851</v>
      </c>
      <c r="K156" s="102" t="s">
        <v>512</v>
      </c>
      <c r="L156" s="98"/>
      <c r="M156" s="98">
        <v>1000</v>
      </c>
      <c r="N156" s="60" t="s">
        <v>771</v>
      </c>
      <c r="O156" s="88"/>
      <c r="P156" s="60" t="s">
        <v>852</v>
      </c>
      <c r="Q156" s="60"/>
      <c r="R156" s="60"/>
      <c r="S156" s="89"/>
      <c r="T156" s="106"/>
      <c r="U156" s="88"/>
      <c r="V156" s="91"/>
      <c r="W156" s="12" t="s">
        <v>515</v>
      </c>
      <c r="X156" s="103"/>
      <c r="Y156" s="6" t="s">
        <v>850</v>
      </c>
      <c r="Z156" s="64" t="s">
        <v>522</v>
      </c>
      <c r="AA156" s="12">
        <v>21</v>
      </c>
      <c r="AB156" s="6" t="s">
        <v>148</v>
      </c>
      <c r="AC156" s="64">
        <v>3084</v>
      </c>
      <c r="AJ156" s="60"/>
      <c r="AK156" s="67" t="s">
        <v>450</v>
      </c>
      <c r="AN156" s="60"/>
      <c r="AO156" s="60"/>
      <c r="AP156" s="60"/>
      <c r="AQ156" s="60"/>
      <c r="AR156" s="72"/>
      <c r="AS156" s="60"/>
      <c r="AT156" s="7"/>
      <c r="AU156" s="7"/>
      <c r="AV156" s="92"/>
      <c r="AW156" s="93"/>
      <c r="AX156" s="77"/>
      <c r="AY156" s="80"/>
      <c r="AZ156" s="94"/>
      <c r="BA156" s="94"/>
      <c r="BB156" s="80" t="s">
        <v>519</v>
      </c>
      <c r="BC156" s="95"/>
      <c r="BD156" s="92"/>
      <c r="BE156" s="92"/>
      <c r="BF156" s="92"/>
      <c r="BG156" s="92"/>
      <c r="BH156" s="92"/>
      <c r="BI156" s="92"/>
      <c r="BJ156" s="92"/>
      <c r="BK156" s="92"/>
      <c r="BL156" s="92"/>
      <c r="BM156" s="92"/>
      <c r="BN156" s="92"/>
      <c r="BO156" s="92"/>
      <c r="BP156" s="92"/>
      <c r="BQ156" s="92"/>
      <c r="BS156" s="6"/>
      <c r="BT156" s="11"/>
      <c r="BU156" s="6"/>
      <c r="BV156" s="6"/>
    </row>
    <row r="157" spans="1:74" ht="15.75" x14ac:dyDescent="0.25">
      <c r="A157" s="50" t="s">
        <v>449</v>
      </c>
      <c r="B157" s="52"/>
      <c r="C157" s="7" t="s">
        <v>118</v>
      </c>
      <c r="D157" s="7" t="s">
        <v>769</v>
      </c>
      <c r="E157" s="7"/>
      <c r="F157" s="55"/>
      <c r="G157" s="6"/>
      <c r="H157" s="6"/>
      <c r="I157" s="10" t="s">
        <v>110</v>
      </c>
      <c r="J157" s="11" t="s">
        <v>853</v>
      </c>
      <c r="K157" s="102" t="s">
        <v>512</v>
      </c>
      <c r="L157" s="98"/>
      <c r="M157" s="98">
        <v>1000</v>
      </c>
      <c r="N157" s="60" t="s">
        <v>771</v>
      </c>
      <c r="O157" s="88"/>
      <c r="P157" s="60" t="s">
        <v>854</v>
      </c>
      <c r="Q157" s="60"/>
      <c r="R157" s="60"/>
      <c r="S157" s="89"/>
      <c r="T157" s="106"/>
      <c r="U157" s="88"/>
      <c r="V157" s="91"/>
      <c r="W157" s="12" t="s">
        <v>515</v>
      </c>
      <c r="X157" s="103"/>
      <c r="Y157" s="6" t="s">
        <v>855</v>
      </c>
      <c r="Z157" s="64" t="s">
        <v>517</v>
      </c>
      <c r="AA157" s="12">
        <v>22</v>
      </c>
      <c r="AB157" s="6" t="s">
        <v>148</v>
      </c>
      <c r="AC157" s="64">
        <v>3060</v>
      </c>
      <c r="AJ157" s="60"/>
      <c r="AK157" s="67" t="s">
        <v>518</v>
      </c>
      <c r="AN157" s="60"/>
      <c r="AO157" s="60"/>
      <c r="AP157" s="60"/>
      <c r="AQ157" s="60"/>
      <c r="AR157" s="72"/>
      <c r="AS157" s="60"/>
      <c r="AT157" s="7"/>
      <c r="AU157" s="7"/>
      <c r="AV157" s="92"/>
      <c r="AW157" s="93"/>
      <c r="AX157" s="77"/>
      <c r="AY157" s="80"/>
      <c r="AZ157" s="94"/>
      <c r="BA157" s="94"/>
      <c r="BB157" s="80" t="s">
        <v>519</v>
      </c>
      <c r="BC157" s="95"/>
      <c r="BD157" s="92"/>
      <c r="BE157" s="92"/>
      <c r="BF157" s="92"/>
      <c r="BG157" s="92"/>
      <c r="BH157" s="92"/>
      <c r="BI157" s="92"/>
      <c r="BJ157" s="92"/>
      <c r="BK157" s="92"/>
      <c r="BL157" s="92"/>
      <c r="BM157" s="92"/>
      <c r="BN157" s="92"/>
      <c r="BO157" s="92"/>
      <c r="BP157" s="92"/>
      <c r="BQ157" s="92"/>
      <c r="BS157" s="6"/>
      <c r="BT157" s="11"/>
      <c r="BU157" s="6"/>
      <c r="BV157" s="6"/>
    </row>
    <row r="158" spans="1:74" ht="15.75" x14ac:dyDescent="0.25">
      <c r="A158" s="50" t="s">
        <v>449</v>
      </c>
      <c r="B158" s="52"/>
      <c r="C158" s="7" t="s">
        <v>118</v>
      </c>
      <c r="D158" s="7" t="s">
        <v>769</v>
      </c>
      <c r="E158" s="7"/>
      <c r="F158" s="55"/>
      <c r="G158" s="6"/>
      <c r="H158" s="6"/>
      <c r="I158" s="10" t="s">
        <v>110</v>
      </c>
      <c r="J158" s="11" t="s">
        <v>856</v>
      </c>
      <c r="K158" s="102" t="s">
        <v>512</v>
      </c>
      <c r="L158" s="98"/>
      <c r="M158" s="98">
        <v>1000</v>
      </c>
      <c r="N158" s="60" t="s">
        <v>771</v>
      </c>
      <c r="O158" s="88"/>
      <c r="P158" s="60" t="s">
        <v>857</v>
      </c>
      <c r="Q158" s="60"/>
      <c r="R158" s="60"/>
      <c r="S158" s="89"/>
      <c r="T158" s="106"/>
      <c r="U158" s="88"/>
      <c r="V158" s="91"/>
      <c r="W158" s="12" t="s">
        <v>515</v>
      </c>
      <c r="X158" s="103"/>
      <c r="Y158" s="6" t="s">
        <v>855</v>
      </c>
      <c r="Z158" s="64" t="s">
        <v>522</v>
      </c>
      <c r="AA158" s="12">
        <v>22</v>
      </c>
      <c r="AB158" s="6" t="s">
        <v>148</v>
      </c>
      <c r="AC158" s="64">
        <v>3084</v>
      </c>
      <c r="AJ158" s="60"/>
      <c r="AK158" s="67" t="s">
        <v>450</v>
      </c>
      <c r="AN158" s="60"/>
      <c r="AO158" s="60"/>
      <c r="AP158" s="60"/>
      <c r="AQ158" s="60"/>
      <c r="AR158" s="72"/>
      <c r="AS158" s="60"/>
      <c r="AT158" s="7"/>
      <c r="AU158" s="7"/>
      <c r="AV158" s="92"/>
      <c r="AW158" s="93"/>
      <c r="AX158" s="77"/>
      <c r="AY158" s="80"/>
      <c r="AZ158" s="94"/>
      <c r="BA158" s="94"/>
      <c r="BB158" s="80" t="s">
        <v>519</v>
      </c>
      <c r="BC158" s="95"/>
      <c r="BD158" s="92"/>
      <c r="BE158" s="92"/>
      <c r="BF158" s="92"/>
      <c r="BG158" s="92"/>
      <c r="BH158" s="92"/>
      <c r="BI158" s="92"/>
      <c r="BJ158" s="92"/>
      <c r="BK158" s="92"/>
      <c r="BL158" s="92"/>
      <c r="BM158" s="92"/>
      <c r="BN158" s="92"/>
      <c r="BO158" s="92"/>
      <c r="BP158" s="92"/>
      <c r="BQ158" s="92"/>
      <c r="BS158" s="6"/>
      <c r="BT158" s="11"/>
      <c r="BU158" s="6"/>
      <c r="BV158" s="6"/>
    </row>
    <row r="159" spans="1:74" ht="15.75" x14ac:dyDescent="0.25">
      <c r="A159" s="50" t="s">
        <v>449</v>
      </c>
      <c r="B159" s="52"/>
      <c r="C159" s="7" t="s">
        <v>118</v>
      </c>
      <c r="D159" s="7" t="s">
        <v>769</v>
      </c>
      <c r="E159" s="7"/>
      <c r="F159" s="55"/>
      <c r="G159" s="6"/>
      <c r="H159" s="6"/>
      <c r="I159" s="10" t="s">
        <v>110</v>
      </c>
      <c r="J159" s="11" t="s">
        <v>858</v>
      </c>
      <c r="K159" s="102" t="s">
        <v>512</v>
      </c>
      <c r="L159" s="98"/>
      <c r="M159" s="98">
        <v>1000</v>
      </c>
      <c r="N159" s="60" t="s">
        <v>771</v>
      </c>
      <c r="O159" s="88"/>
      <c r="P159" s="60" t="s">
        <v>859</v>
      </c>
      <c r="Q159" s="60"/>
      <c r="R159" s="60"/>
      <c r="S159" s="89"/>
      <c r="T159" s="106"/>
      <c r="U159" s="88"/>
      <c r="V159" s="91"/>
      <c r="W159" s="12" t="s">
        <v>515</v>
      </c>
      <c r="X159" s="103"/>
      <c r="Y159" s="6" t="s">
        <v>860</v>
      </c>
      <c r="Z159" s="64" t="s">
        <v>517</v>
      </c>
      <c r="AA159" s="12">
        <v>23</v>
      </c>
      <c r="AB159" s="6" t="s">
        <v>148</v>
      </c>
      <c r="AC159" s="64">
        <v>3060</v>
      </c>
      <c r="AJ159" s="60"/>
      <c r="AK159" s="67" t="s">
        <v>518</v>
      </c>
      <c r="AN159" s="60"/>
      <c r="AO159" s="60"/>
      <c r="AP159" s="60"/>
      <c r="AQ159" s="60"/>
      <c r="AR159" s="72"/>
      <c r="AS159" s="60"/>
      <c r="AT159" s="7"/>
      <c r="AU159" s="7"/>
      <c r="AV159" s="92"/>
      <c r="AW159" s="93"/>
      <c r="AX159" s="77"/>
      <c r="AY159" s="80"/>
      <c r="AZ159" s="94"/>
      <c r="BA159" s="94"/>
      <c r="BB159" s="80" t="s">
        <v>519</v>
      </c>
      <c r="BC159" s="95"/>
      <c r="BD159" s="92"/>
      <c r="BE159" s="92"/>
      <c r="BF159" s="92"/>
      <c r="BG159" s="92"/>
      <c r="BH159" s="92"/>
      <c r="BI159" s="92"/>
      <c r="BJ159" s="92"/>
      <c r="BK159" s="92"/>
      <c r="BL159" s="92"/>
      <c r="BM159" s="92"/>
      <c r="BN159" s="92"/>
      <c r="BO159" s="92"/>
      <c r="BP159" s="92"/>
      <c r="BQ159" s="92"/>
      <c r="BS159" s="6"/>
      <c r="BT159" s="11"/>
      <c r="BU159" s="6"/>
      <c r="BV159" s="6"/>
    </row>
    <row r="160" spans="1:74" ht="15.75" x14ac:dyDescent="0.25">
      <c r="A160" s="50" t="s">
        <v>449</v>
      </c>
      <c r="B160" s="52"/>
      <c r="C160" s="7" t="s">
        <v>118</v>
      </c>
      <c r="D160" s="7" t="s">
        <v>769</v>
      </c>
      <c r="E160" s="7"/>
      <c r="F160" s="55"/>
      <c r="G160" s="6"/>
      <c r="H160" s="6"/>
      <c r="I160" s="10" t="s">
        <v>110</v>
      </c>
      <c r="J160" s="11" t="s">
        <v>861</v>
      </c>
      <c r="K160" s="102" t="s">
        <v>512</v>
      </c>
      <c r="L160" s="98"/>
      <c r="M160" s="98">
        <v>1000</v>
      </c>
      <c r="N160" s="60" t="s">
        <v>771</v>
      </c>
      <c r="O160" s="88"/>
      <c r="P160" s="60" t="s">
        <v>862</v>
      </c>
      <c r="Q160" s="60"/>
      <c r="R160" s="60"/>
      <c r="S160" s="89"/>
      <c r="T160" s="106"/>
      <c r="U160" s="88"/>
      <c r="V160" s="91"/>
      <c r="W160" s="12" t="s">
        <v>515</v>
      </c>
      <c r="X160" s="103"/>
      <c r="Y160" s="6" t="s">
        <v>860</v>
      </c>
      <c r="Z160" s="64" t="s">
        <v>522</v>
      </c>
      <c r="AA160" s="12">
        <v>23</v>
      </c>
      <c r="AB160" s="6" t="s">
        <v>148</v>
      </c>
      <c r="AC160" s="64">
        <v>3084</v>
      </c>
      <c r="AJ160" s="60"/>
      <c r="AK160" s="67" t="s">
        <v>450</v>
      </c>
      <c r="AN160" s="60"/>
      <c r="AO160" s="60"/>
      <c r="AP160" s="60"/>
      <c r="AQ160" s="60"/>
      <c r="AR160" s="72"/>
      <c r="AS160" s="60"/>
      <c r="AT160" s="7"/>
      <c r="AU160" s="7"/>
      <c r="AV160" s="92"/>
      <c r="AW160" s="93"/>
      <c r="AX160" s="77"/>
      <c r="AY160" s="80"/>
      <c r="AZ160" s="94"/>
      <c r="BA160" s="94"/>
      <c r="BB160" s="80" t="s">
        <v>519</v>
      </c>
      <c r="BC160" s="95"/>
      <c r="BD160" s="92"/>
      <c r="BE160" s="92"/>
      <c r="BF160" s="92"/>
      <c r="BG160" s="92"/>
      <c r="BH160" s="92"/>
      <c r="BI160" s="92"/>
      <c r="BJ160" s="92"/>
      <c r="BK160" s="92"/>
      <c r="BL160" s="92"/>
      <c r="BM160" s="92"/>
      <c r="BN160" s="92"/>
      <c r="BO160" s="92"/>
      <c r="BP160" s="92"/>
      <c r="BQ160" s="92"/>
      <c r="BS160" s="6"/>
      <c r="BT160" s="11"/>
      <c r="BU160" s="6"/>
      <c r="BV160" s="6"/>
    </row>
    <row r="161" spans="1:74" ht="15.75" x14ac:dyDescent="0.25">
      <c r="A161" s="50" t="s">
        <v>449</v>
      </c>
      <c r="B161" s="52"/>
      <c r="C161" s="7" t="s">
        <v>118</v>
      </c>
      <c r="D161" s="7" t="s">
        <v>769</v>
      </c>
      <c r="E161" s="7"/>
      <c r="F161" s="55"/>
      <c r="G161" s="6"/>
      <c r="H161" s="6"/>
      <c r="I161" s="10" t="s">
        <v>110</v>
      </c>
      <c r="J161" s="11" t="s">
        <v>863</v>
      </c>
      <c r="K161" s="102" t="s">
        <v>512</v>
      </c>
      <c r="L161" s="98"/>
      <c r="M161" s="98">
        <v>1000</v>
      </c>
      <c r="N161" s="60" t="s">
        <v>771</v>
      </c>
      <c r="O161" s="88"/>
      <c r="P161" s="60" t="s">
        <v>864</v>
      </c>
      <c r="Q161" s="60"/>
      <c r="R161" s="60"/>
      <c r="S161" s="89"/>
      <c r="T161" s="106"/>
      <c r="U161" s="88"/>
      <c r="V161" s="91"/>
      <c r="W161" s="12" t="s">
        <v>515</v>
      </c>
      <c r="X161" s="103"/>
      <c r="Y161" s="6" t="s">
        <v>865</v>
      </c>
      <c r="Z161" s="64" t="s">
        <v>517</v>
      </c>
      <c r="AA161" s="12">
        <v>24</v>
      </c>
      <c r="AB161" s="6" t="s">
        <v>148</v>
      </c>
      <c r="AC161" s="64">
        <v>3060</v>
      </c>
      <c r="AJ161" s="60"/>
      <c r="AK161" s="67" t="s">
        <v>518</v>
      </c>
      <c r="AN161" s="60"/>
      <c r="AO161" s="60"/>
      <c r="AP161" s="60"/>
      <c r="AQ161" s="60"/>
      <c r="AR161" s="72"/>
      <c r="AS161" s="60"/>
      <c r="AT161" s="7"/>
      <c r="AU161" s="7"/>
      <c r="AV161" s="92"/>
      <c r="AW161" s="93"/>
      <c r="AX161" s="77"/>
      <c r="AY161" s="80"/>
      <c r="AZ161" s="94"/>
      <c r="BA161" s="94"/>
      <c r="BB161" s="80" t="s">
        <v>519</v>
      </c>
      <c r="BC161" s="95"/>
      <c r="BD161" s="92"/>
      <c r="BE161" s="92"/>
      <c r="BF161" s="92"/>
      <c r="BG161" s="92"/>
      <c r="BH161" s="92"/>
      <c r="BI161" s="92"/>
      <c r="BJ161" s="92"/>
      <c r="BK161" s="92"/>
      <c r="BL161" s="92"/>
      <c r="BM161" s="92"/>
      <c r="BN161" s="92"/>
      <c r="BO161" s="92"/>
      <c r="BP161" s="92"/>
      <c r="BQ161" s="92"/>
      <c r="BS161" s="6"/>
      <c r="BT161" s="11"/>
      <c r="BU161" s="6"/>
      <c r="BV161" s="6"/>
    </row>
    <row r="162" spans="1:74" ht="15.75" x14ac:dyDescent="0.25">
      <c r="A162" s="50" t="s">
        <v>449</v>
      </c>
      <c r="B162" s="52"/>
      <c r="C162" s="7" t="s">
        <v>118</v>
      </c>
      <c r="D162" s="7" t="s">
        <v>769</v>
      </c>
      <c r="E162" s="7"/>
      <c r="F162" s="55"/>
      <c r="G162" s="6"/>
      <c r="H162" s="6"/>
      <c r="I162" s="10" t="s">
        <v>110</v>
      </c>
      <c r="J162" s="11" t="s">
        <v>866</v>
      </c>
      <c r="K162" s="102" t="s">
        <v>512</v>
      </c>
      <c r="L162" s="98"/>
      <c r="M162" s="98">
        <v>1000</v>
      </c>
      <c r="N162" s="60" t="s">
        <v>771</v>
      </c>
      <c r="O162" s="88"/>
      <c r="P162" s="60" t="s">
        <v>867</v>
      </c>
      <c r="Q162" s="60"/>
      <c r="R162" s="60"/>
      <c r="S162" s="89"/>
      <c r="T162" s="106"/>
      <c r="U162" s="88"/>
      <c r="V162" s="91"/>
      <c r="W162" s="12" t="s">
        <v>515</v>
      </c>
      <c r="X162" s="103"/>
      <c r="Y162" s="6" t="s">
        <v>865</v>
      </c>
      <c r="Z162" s="64" t="s">
        <v>522</v>
      </c>
      <c r="AA162" s="12">
        <v>24</v>
      </c>
      <c r="AB162" s="6" t="s">
        <v>148</v>
      </c>
      <c r="AC162" s="64">
        <v>3084</v>
      </c>
      <c r="AJ162" s="60"/>
      <c r="AK162" s="67" t="s">
        <v>450</v>
      </c>
      <c r="AN162" s="60"/>
      <c r="AO162" s="60"/>
      <c r="AP162" s="60"/>
      <c r="AQ162" s="60"/>
      <c r="AR162" s="72"/>
      <c r="AS162" s="60"/>
      <c r="AT162" s="7"/>
      <c r="AU162" s="7"/>
      <c r="AV162" s="92"/>
      <c r="AW162" s="93"/>
      <c r="AX162" s="77"/>
      <c r="AY162" s="80"/>
      <c r="AZ162" s="94"/>
      <c r="BA162" s="94"/>
      <c r="BB162" s="80" t="s">
        <v>519</v>
      </c>
      <c r="BC162" s="95"/>
      <c r="BD162" s="92"/>
      <c r="BE162" s="92"/>
      <c r="BF162" s="92"/>
      <c r="BG162" s="92"/>
      <c r="BH162" s="92"/>
      <c r="BI162" s="92"/>
      <c r="BJ162" s="92"/>
      <c r="BK162" s="92"/>
      <c r="BL162" s="92"/>
      <c r="BM162" s="92"/>
      <c r="BN162" s="92"/>
      <c r="BO162" s="92"/>
      <c r="BP162" s="92"/>
      <c r="BQ162" s="92"/>
      <c r="BS162" s="6"/>
      <c r="BT162" s="11"/>
      <c r="BU162" s="6"/>
      <c r="BV162" s="6"/>
    </row>
    <row r="163" spans="1:74" ht="15.75" x14ac:dyDescent="0.25">
      <c r="A163" s="50" t="s">
        <v>449</v>
      </c>
      <c r="B163" s="52"/>
      <c r="C163" s="7" t="s">
        <v>118</v>
      </c>
      <c r="D163" s="7" t="s">
        <v>769</v>
      </c>
      <c r="E163" s="7"/>
      <c r="F163" s="55"/>
      <c r="G163" s="6"/>
      <c r="H163" s="6"/>
      <c r="I163" s="10" t="s">
        <v>110</v>
      </c>
      <c r="J163" s="11" t="s">
        <v>868</v>
      </c>
      <c r="K163" s="102" t="s">
        <v>512</v>
      </c>
      <c r="L163" s="98"/>
      <c r="M163" s="98">
        <v>1000</v>
      </c>
      <c r="N163" s="60" t="s">
        <v>771</v>
      </c>
      <c r="O163" s="88"/>
      <c r="P163" s="60" t="s">
        <v>869</v>
      </c>
      <c r="Q163" s="60"/>
      <c r="R163" s="60"/>
      <c r="S163" s="89"/>
      <c r="T163" s="106"/>
      <c r="U163" s="88"/>
      <c r="V163" s="91"/>
      <c r="W163" s="12" t="s">
        <v>515</v>
      </c>
      <c r="X163" s="103"/>
      <c r="Y163" s="6" t="s">
        <v>870</v>
      </c>
      <c r="Z163" s="64" t="s">
        <v>517</v>
      </c>
      <c r="AA163" s="12">
        <v>25</v>
      </c>
      <c r="AB163" s="6" t="s">
        <v>148</v>
      </c>
      <c r="AC163" s="64">
        <v>3060</v>
      </c>
      <c r="AJ163" s="60"/>
      <c r="AK163" s="67" t="s">
        <v>518</v>
      </c>
      <c r="AN163" s="60"/>
      <c r="AO163" s="60"/>
      <c r="AP163" s="60"/>
      <c r="AQ163" s="60"/>
      <c r="AR163" s="72"/>
      <c r="AS163" s="60"/>
      <c r="AT163" s="7"/>
      <c r="AU163" s="7"/>
      <c r="AV163" s="92"/>
      <c r="AW163" s="93"/>
      <c r="AX163" s="77"/>
      <c r="AY163" s="80"/>
      <c r="AZ163" s="94"/>
      <c r="BA163" s="94"/>
      <c r="BB163" s="80" t="s">
        <v>519</v>
      </c>
      <c r="BC163" s="95"/>
      <c r="BD163" s="92"/>
      <c r="BE163" s="92"/>
      <c r="BF163" s="92"/>
      <c r="BG163" s="92"/>
      <c r="BH163" s="92"/>
      <c r="BI163" s="92"/>
      <c r="BJ163" s="92"/>
      <c r="BK163" s="92"/>
      <c r="BL163" s="92"/>
      <c r="BM163" s="92"/>
      <c r="BN163" s="92"/>
      <c r="BO163" s="92"/>
      <c r="BP163" s="92"/>
      <c r="BQ163" s="92"/>
      <c r="BS163" s="6"/>
      <c r="BT163" s="11"/>
      <c r="BU163" s="6"/>
      <c r="BV163" s="6"/>
    </row>
    <row r="164" spans="1:74" ht="15.75" x14ac:dyDescent="0.25">
      <c r="A164" s="50" t="s">
        <v>449</v>
      </c>
      <c r="B164" s="52"/>
      <c r="C164" s="7" t="s">
        <v>118</v>
      </c>
      <c r="D164" s="7" t="s">
        <v>769</v>
      </c>
      <c r="E164" s="7"/>
      <c r="F164" s="55"/>
      <c r="G164" s="6"/>
      <c r="H164" s="6"/>
      <c r="I164" s="10" t="s">
        <v>110</v>
      </c>
      <c r="J164" s="11" t="s">
        <v>871</v>
      </c>
      <c r="K164" s="102" t="s">
        <v>512</v>
      </c>
      <c r="L164" s="98"/>
      <c r="M164" s="98">
        <v>1000</v>
      </c>
      <c r="N164" s="60" t="s">
        <v>771</v>
      </c>
      <c r="O164" s="88"/>
      <c r="P164" s="60" t="s">
        <v>872</v>
      </c>
      <c r="Q164" s="60"/>
      <c r="R164" s="60"/>
      <c r="S164" s="89"/>
      <c r="T164" s="106"/>
      <c r="U164" s="88"/>
      <c r="V164" s="91"/>
      <c r="W164" s="12" t="s">
        <v>515</v>
      </c>
      <c r="X164" s="103"/>
      <c r="Y164" s="6" t="s">
        <v>870</v>
      </c>
      <c r="Z164" s="64" t="s">
        <v>522</v>
      </c>
      <c r="AA164" s="12">
        <v>25</v>
      </c>
      <c r="AB164" s="6" t="s">
        <v>148</v>
      </c>
      <c r="AC164" s="64">
        <v>3084</v>
      </c>
      <c r="AJ164" s="60"/>
      <c r="AK164" s="67" t="s">
        <v>450</v>
      </c>
      <c r="AN164" s="60"/>
      <c r="AO164" s="60"/>
      <c r="AP164" s="60"/>
      <c r="AQ164" s="60"/>
      <c r="AR164" s="72"/>
      <c r="AS164" s="60"/>
      <c r="AT164" s="7"/>
      <c r="AU164" s="7"/>
      <c r="AV164" s="92"/>
      <c r="AW164" s="93"/>
      <c r="AX164" s="77"/>
      <c r="AY164" s="80"/>
      <c r="AZ164" s="94"/>
      <c r="BA164" s="94"/>
      <c r="BB164" s="80" t="s">
        <v>519</v>
      </c>
      <c r="BC164" s="95"/>
      <c r="BD164" s="92"/>
      <c r="BE164" s="92"/>
      <c r="BF164" s="92"/>
      <c r="BG164" s="92"/>
      <c r="BH164" s="92"/>
      <c r="BI164" s="92"/>
      <c r="BJ164" s="92"/>
      <c r="BK164" s="92"/>
      <c r="BL164" s="92"/>
      <c r="BM164" s="92"/>
      <c r="BN164" s="92"/>
      <c r="BO164" s="92"/>
      <c r="BP164" s="92"/>
      <c r="BQ164" s="92"/>
      <c r="BS164" s="6"/>
      <c r="BT164" s="11"/>
      <c r="BU164" s="6"/>
      <c r="BV164" s="6"/>
    </row>
    <row r="165" spans="1:74" ht="15.75" x14ac:dyDescent="0.25">
      <c r="A165" s="50" t="s">
        <v>449</v>
      </c>
      <c r="B165" s="52"/>
      <c r="C165" s="7" t="s">
        <v>118</v>
      </c>
      <c r="D165" s="7" t="s">
        <v>769</v>
      </c>
      <c r="E165" s="7"/>
      <c r="F165" s="55"/>
      <c r="G165" s="6"/>
      <c r="H165" s="6"/>
      <c r="I165" s="10" t="s">
        <v>110</v>
      </c>
      <c r="J165" s="11" t="s">
        <v>873</v>
      </c>
      <c r="K165" s="102" t="s">
        <v>512</v>
      </c>
      <c r="L165" s="98"/>
      <c r="M165" s="98">
        <v>1000</v>
      </c>
      <c r="N165" s="60" t="s">
        <v>771</v>
      </c>
      <c r="O165" s="88"/>
      <c r="P165" s="60" t="s">
        <v>874</v>
      </c>
      <c r="Q165" s="60"/>
      <c r="R165" s="60"/>
      <c r="S165" s="89"/>
      <c r="T165" s="106"/>
      <c r="U165" s="88"/>
      <c r="V165" s="91"/>
      <c r="W165" s="12" t="s">
        <v>515</v>
      </c>
      <c r="X165" s="103"/>
      <c r="Y165" s="6" t="s">
        <v>875</v>
      </c>
      <c r="Z165" s="64" t="s">
        <v>517</v>
      </c>
      <c r="AA165" s="12">
        <v>26</v>
      </c>
      <c r="AB165" s="6" t="s">
        <v>148</v>
      </c>
      <c r="AC165" s="64">
        <v>3060</v>
      </c>
      <c r="AJ165" s="60"/>
      <c r="AK165" s="67" t="s">
        <v>518</v>
      </c>
      <c r="AN165" s="60"/>
      <c r="AO165" s="60"/>
      <c r="AP165" s="60"/>
      <c r="AQ165" s="60"/>
      <c r="AR165" s="72"/>
      <c r="AS165" s="60"/>
      <c r="AT165" s="7"/>
      <c r="AU165" s="7"/>
      <c r="AV165" s="92"/>
      <c r="AW165" s="93"/>
      <c r="AX165" s="77"/>
      <c r="AY165" s="80"/>
      <c r="AZ165" s="94"/>
      <c r="BA165" s="94"/>
      <c r="BB165" s="80" t="s">
        <v>519</v>
      </c>
      <c r="BC165" s="95"/>
      <c r="BD165" s="92"/>
      <c r="BE165" s="92"/>
      <c r="BF165" s="92"/>
      <c r="BG165" s="92"/>
      <c r="BH165" s="92"/>
      <c r="BI165" s="92"/>
      <c r="BJ165" s="92"/>
      <c r="BK165" s="92"/>
      <c r="BL165" s="92"/>
      <c r="BM165" s="92"/>
      <c r="BN165" s="92"/>
      <c r="BO165" s="92"/>
      <c r="BP165" s="92"/>
      <c r="BQ165" s="92"/>
      <c r="BS165" s="6"/>
      <c r="BT165" s="11"/>
      <c r="BU165" s="6"/>
      <c r="BV165" s="6"/>
    </row>
    <row r="166" spans="1:74" ht="15.75" x14ac:dyDescent="0.25">
      <c r="A166" s="50" t="s">
        <v>449</v>
      </c>
      <c r="B166" s="52"/>
      <c r="C166" s="7" t="s">
        <v>118</v>
      </c>
      <c r="D166" s="7" t="s">
        <v>769</v>
      </c>
      <c r="E166" s="7"/>
      <c r="F166" s="55"/>
      <c r="G166" s="6"/>
      <c r="H166" s="6"/>
      <c r="I166" s="10" t="s">
        <v>110</v>
      </c>
      <c r="J166" s="11" t="s">
        <v>876</v>
      </c>
      <c r="K166" s="102" t="s">
        <v>512</v>
      </c>
      <c r="L166" s="98"/>
      <c r="M166" s="98">
        <v>1000</v>
      </c>
      <c r="N166" s="60" t="s">
        <v>771</v>
      </c>
      <c r="O166" s="88"/>
      <c r="P166" s="60" t="s">
        <v>877</v>
      </c>
      <c r="Q166" s="60"/>
      <c r="R166" s="60"/>
      <c r="S166" s="89"/>
      <c r="T166" s="106"/>
      <c r="U166" s="88"/>
      <c r="V166" s="91"/>
      <c r="W166" s="12" t="s">
        <v>515</v>
      </c>
      <c r="X166" s="103"/>
      <c r="Y166" s="6" t="s">
        <v>875</v>
      </c>
      <c r="Z166" s="64" t="s">
        <v>522</v>
      </c>
      <c r="AA166" s="12">
        <v>26</v>
      </c>
      <c r="AB166" s="6" t="s">
        <v>148</v>
      </c>
      <c r="AC166" s="64">
        <v>3084</v>
      </c>
      <c r="AJ166" s="60"/>
      <c r="AK166" s="67" t="s">
        <v>450</v>
      </c>
      <c r="AN166" s="60"/>
      <c r="AO166" s="60"/>
      <c r="AP166" s="60"/>
      <c r="AQ166" s="60"/>
      <c r="AR166" s="72"/>
      <c r="AS166" s="60"/>
      <c r="AT166" s="7"/>
      <c r="AU166" s="7"/>
      <c r="AV166" s="92"/>
      <c r="AW166" s="93"/>
      <c r="AX166" s="77"/>
      <c r="AY166" s="80"/>
      <c r="AZ166" s="94"/>
      <c r="BA166" s="94"/>
      <c r="BB166" s="80" t="s">
        <v>519</v>
      </c>
      <c r="BC166" s="95"/>
      <c r="BD166" s="92"/>
      <c r="BE166" s="92"/>
      <c r="BF166" s="92"/>
      <c r="BG166" s="92"/>
      <c r="BH166" s="92"/>
      <c r="BI166" s="92"/>
      <c r="BJ166" s="92"/>
      <c r="BK166" s="92"/>
      <c r="BL166" s="92"/>
      <c r="BM166" s="92"/>
      <c r="BN166" s="92"/>
      <c r="BO166" s="92"/>
      <c r="BP166" s="92"/>
      <c r="BQ166" s="92"/>
      <c r="BS166" s="6"/>
      <c r="BT166" s="11"/>
      <c r="BU166" s="6"/>
      <c r="BV166" s="6"/>
    </row>
    <row r="167" spans="1:74" ht="15.75" x14ac:dyDescent="0.25">
      <c r="A167" s="50" t="s">
        <v>449</v>
      </c>
      <c r="B167" s="52"/>
      <c r="C167" s="7" t="s">
        <v>118</v>
      </c>
      <c r="D167" s="7" t="s">
        <v>769</v>
      </c>
      <c r="E167" s="7"/>
      <c r="F167" s="55"/>
      <c r="G167" s="6"/>
      <c r="H167" s="6"/>
      <c r="I167" s="10" t="s">
        <v>110</v>
      </c>
      <c r="J167" s="11" t="s">
        <v>878</v>
      </c>
      <c r="K167" s="102" t="s">
        <v>512</v>
      </c>
      <c r="L167" s="98"/>
      <c r="M167" s="98">
        <v>1000</v>
      </c>
      <c r="N167" s="60" t="s">
        <v>771</v>
      </c>
      <c r="O167" s="88"/>
      <c r="P167" s="60" t="s">
        <v>879</v>
      </c>
      <c r="Q167" s="60"/>
      <c r="R167" s="60"/>
      <c r="S167" s="89"/>
      <c r="T167" s="106"/>
      <c r="U167" s="88"/>
      <c r="V167" s="91"/>
      <c r="W167" s="12" t="s">
        <v>515</v>
      </c>
      <c r="X167" s="103"/>
      <c r="Y167" s="6" t="s">
        <v>880</v>
      </c>
      <c r="Z167" s="64" t="s">
        <v>517</v>
      </c>
      <c r="AA167" s="12">
        <v>27</v>
      </c>
      <c r="AB167" s="6" t="s">
        <v>148</v>
      </c>
      <c r="AC167" s="64">
        <v>3060</v>
      </c>
      <c r="AJ167" s="60"/>
      <c r="AK167" s="67" t="s">
        <v>518</v>
      </c>
      <c r="AN167" s="60"/>
      <c r="AO167" s="60"/>
      <c r="AP167" s="60"/>
      <c r="AQ167" s="60"/>
      <c r="AR167" s="72"/>
      <c r="AS167" s="60"/>
      <c r="AT167" s="7"/>
      <c r="AU167" s="7"/>
      <c r="AV167" s="92"/>
      <c r="AW167" s="93"/>
      <c r="AX167" s="77"/>
      <c r="AY167" s="80"/>
      <c r="AZ167" s="94"/>
      <c r="BA167" s="94"/>
      <c r="BB167" s="80" t="s">
        <v>519</v>
      </c>
      <c r="BC167" s="95"/>
      <c r="BD167" s="92"/>
      <c r="BE167" s="92"/>
      <c r="BF167" s="92"/>
      <c r="BG167" s="92"/>
      <c r="BH167" s="92"/>
      <c r="BI167" s="92"/>
      <c r="BJ167" s="92"/>
      <c r="BK167" s="92"/>
      <c r="BL167" s="92"/>
      <c r="BM167" s="92"/>
      <c r="BN167" s="92"/>
      <c r="BO167" s="92"/>
      <c r="BP167" s="92"/>
      <c r="BQ167" s="92"/>
      <c r="BS167" s="6"/>
      <c r="BT167" s="11"/>
      <c r="BU167" s="6"/>
      <c r="BV167" s="6"/>
    </row>
    <row r="168" spans="1:74" ht="15.75" x14ac:dyDescent="0.25">
      <c r="A168" s="50" t="s">
        <v>449</v>
      </c>
      <c r="B168" s="52"/>
      <c r="C168" s="7" t="s">
        <v>118</v>
      </c>
      <c r="D168" s="7" t="s">
        <v>769</v>
      </c>
      <c r="E168" s="7"/>
      <c r="F168" s="55"/>
      <c r="G168" s="6"/>
      <c r="H168" s="6"/>
      <c r="I168" s="10" t="s">
        <v>110</v>
      </c>
      <c r="J168" s="11" t="s">
        <v>881</v>
      </c>
      <c r="K168" s="102" t="s">
        <v>512</v>
      </c>
      <c r="L168" s="98"/>
      <c r="M168" s="98">
        <v>1000</v>
      </c>
      <c r="N168" s="60" t="s">
        <v>771</v>
      </c>
      <c r="O168" s="88"/>
      <c r="P168" s="60" t="s">
        <v>882</v>
      </c>
      <c r="Q168" s="60"/>
      <c r="R168" s="60"/>
      <c r="S168" s="89"/>
      <c r="T168" s="106"/>
      <c r="U168" s="88"/>
      <c r="V168" s="91"/>
      <c r="W168" s="12" t="s">
        <v>515</v>
      </c>
      <c r="X168" s="103"/>
      <c r="Y168" s="6" t="s">
        <v>880</v>
      </c>
      <c r="Z168" s="64" t="s">
        <v>522</v>
      </c>
      <c r="AA168" s="12">
        <v>27</v>
      </c>
      <c r="AB168" s="6" t="s">
        <v>148</v>
      </c>
      <c r="AC168" s="64">
        <v>3084</v>
      </c>
      <c r="AJ168" s="60"/>
      <c r="AK168" s="67" t="s">
        <v>450</v>
      </c>
      <c r="AN168" s="60"/>
      <c r="AO168" s="60"/>
      <c r="AP168" s="60"/>
      <c r="AQ168" s="60"/>
      <c r="AR168" s="72"/>
      <c r="AS168" s="60"/>
      <c r="AT168" s="7"/>
      <c r="AU168" s="7"/>
      <c r="AV168" s="92"/>
      <c r="AW168" s="93"/>
      <c r="AX168" s="77"/>
      <c r="AY168" s="80"/>
      <c r="AZ168" s="94"/>
      <c r="BA168" s="94"/>
      <c r="BB168" s="80" t="s">
        <v>519</v>
      </c>
      <c r="BC168" s="95"/>
      <c r="BD168" s="92"/>
      <c r="BE168" s="92"/>
      <c r="BF168" s="92"/>
      <c r="BG168" s="92"/>
      <c r="BH168" s="92"/>
      <c r="BI168" s="92"/>
      <c r="BJ168" s="92"/>
      <c r="BK168" s="92"/>
      <c r="BL168" s="92"/>
      <c r="BM168" s="92"/>
      <c r="BN168" s="92"/>
      <c r="BO168" s="92"/>
      <c r="BP168" s="92"/>
      <c r="BQ168" s="92"/>
      <c r="BS168" s="6"/>
      <c r="BT168" s="11"/>
      <c r="BU168" s="6"/>
      <c r="BV168" s="6"/>
    </row>
    <row r="169" spans="1:74" ht="15.75" x14ac:dyDescent="0.25">
      <c r="A169" s="50" t="s">
        <v>449</v>
      </c>
      <c r="B169" s="52"/>
      <c r="C169" s="7" t="s">
        <v>118</v>
      </c>
      <c r="D169" s="7" t="s">
        <v>769</v>
      </c>
      <c r="E169" s="7"/>
      <c r="F169" s="55"/>
      <c r="G169" s="6"/>
      <c r="H169" s="6"/>
      <c r="I169" s="10" t="s">
        <v>110</v>
      </c>
      <c r="J169" s="11" t="s">
        <v>883</v>
      </c>
      <c r="K169" s="102" t="s">
        <v>512</v>
      </c>
      <c r="L169" s="98"/>
      <c r="M169" s="98">
        <v>1000</v>
      </c>
      <c r="N169" s="60" t="s">
        <v>771</v>
      </c>
      <c r="O169" s="88"/>
      <c r="P169" s="60" t="s">
        <v>884</v>
      </c>
      <c r="Q169" s="60"/>
      <c r="R169" s="60"/>
      <c r="S169" s="89"/>
      <c r="T169" s="106"/>
      <c r="U169" s="88"/>
      <c r="V169" s="91"/>
      <c r="W169" s="12" t="s">
        <v>515</v>
      </c>
      <c r="X169" s="103"/>
      <c r="Y169" s="6" t="s">
        <v>885</v>
      </c>
      <c r="Z169" s="64" t="s">
        <v>517</v>
      </c>
      <c r="AA169" s="12">
        <v>28</v>
      </c>
      <c r="AB169" s="6" t="s">
        <v>148</v>
      </c>
      <c r="AC169" s="64">
        <v>3060</v>
      </c>
      <c r="AJ169" s="60"/>
      <c r="AK169" s="67" t="s">
        <v>518</v>
      </c>
      <c r="AN169" s="60"/>
      <c r="AO169" s="60"/>
      <c r="AP169" s="60"/>
      <c r="AQ169" s="60"/>
      <c r="AR169" s="72"/>
      <c r="AS169" s="60"/>
      <c r="AT169" s="7"/>
      <c r="AU169" s="7"/>
      <c r="AV169" s="92"/>
      <c r="AW169" s="93"/>
      <c r="AX169" s="77"/>
      <c r="AY169" s="80"/>
      <c r="AZ169" s="94"/>
      <c r="BA169" s="94"/>
      <c r="BB169" s="80" t="s">
        <v>519</v>
      </c>
      <c r="BC169" s="95"/>
      <c r="BD169" s="92"/>
      <c r="BE169" s="92"/>
      <c r="BF169" s="92"/>
      <c r="BG169" s="92"/>
      <c r="BH169" s="92"/>
      <c r="BI169" s="92"/>
      <c r="BJ169" s="92"/>
      <c r="BK169" s="92"/>
      <c r="BL169" s="92"/>
      <c r="BM169" s="92"/>
      <c r="BN169" s="92"/>
      <c r="BO169" s="92"/>
      <c r="BP169" s="92"/>
      <c r="BQ169" s="92"/>
      <c r="BS169" s="6"/>
      <c r="BT169" s="11"/>
      <c r="BU169" s="6"/>
      <c r="BV169" s="6"/>
    </row>
    <row r="170" spans="1:74" ht="15.75" x14ac:dyDescent="0.25">
      <c r="A170" s="50" t="s">
        <v>449</v>
      </c>
      <c r="B170" s="52"/>
      <c r="C170" s="7" t="s">
        <v>118</v>
      </c>
      <c r="D170" s="7" t="s">
        <v>769</v>
      </c>
      <c r="E170" s="7"/>
      <c r="F170" s="55"/>
      <c r="G170" s="6"/>
      <c r="H170" s="6"/>
      <c r="I170" s="10" t="s">
        <v>110</v>
      </c>
      <c r="J170" s="11" t="s">
        <v>886</v>
      </c>
      <c r="K170" s="102" t="s">
        <v>512</v>
      </c>
      <c r="L170" s="98"/>
      <c r="M170" s="98">
        <v>1000</v>
      </c>
      <c r="N170" s="60" t="s">
        <v>771</v>
      </c>
      <c r="O170" s="88"/>
      <c r="P170" s="60" t="s">
        <v>887</v>
      </c>
      <c r="Q170" s="60"/>
      <c r="R170" s="60"/>
      <c r="S170" s="89"/>
      <c r="T170" s="106"/>
      <c r="U170" s="88"/>
      <c r="V170" s="91"/>
      <c r="W170" s="12" t="s">
        <v>515</v>
      </c>
      <c r="X170" s="103"/>
      <c r="Y170" s="6" t="s">
        <v>885</v>
      </c>
      <c r="Z170" s="64" t="s">
        <v>522</v>
      </c>
      <c r="AA170" s="12">
        <v>28</v>
      </c>
      <c r="AB170" s="6" t="s">
        <v>148</v>
      </c>
      <c r="AC170" s="64">
        <v>3084</v>
      </c>
      <c r="AJ170" s="60"/>
      <c r="AK170" s="67" t="s">
        <v>450</v>
      </c>
      <c r="AN170" s="60"/>
      <c r="AO170" s="60"/>
      <c r="AP170" s="60"/>
      <c r="AQ170" s="60"/>
      <c r="AR170" s="72"/>
      <c r="AS170" s="60"/>
      <c r="AT170" s="7"/>
      <c r="AU170" s="7"/>
      <c r="AV170" s="92"/>
      <c r="AW170" s="93"/>
      <c r="AX170" s="77"/>
      <c r="AY170" s="80"/>
      <c r="AZ170" s="94"/>
      <c r="BA170" s="94"/>
      <c r="BB170" s="80" t="s">
        <v>519</v>
      </c>
      <c r="BC170" s="95"/>
      <c r="BD170" s="92"/>
      <c r="BE170" s="92"/>
      <c r="BF170" s="92"/>
      <c r="BG170" s="92"/>
      <c r="BH170" s="92"/>
      <c r="BI170" s="92"/>
      <c r="BJ170" s="92"/>
      <c r="BK170" s="92"/>
      <c r="BL170" s="92"/>
      <c r="BM170" s="92"/>
      <c r="BN170" s="92"/>
      <c r="BO170" s="92"/>
      <c r="BP170" s="92"/>
      <c r="BQ170" s="92"/>
      <c r="BS170" s="6"/>
      <c r="BT170" s="11"/>
      <c r="BU170" s="6"/>
      <c r="BV170" s="6"/>
    </row>
    <row r="171" spans="1:74" ht="15.75" x14ac:dyDescent="0.25">
      <c r="A171" s="50" t="s">
        <v>449</v>
      </c>
      <c r="B171" s="52"/>
      <c r="C171" s="7" t="s">
        <v>118</v>
      </c>
      <c r="D171" s="7" t="s">
        <v>769</v>
      </c>
      <c r="E171" s="7"/>
      <c r="F171" s="55"/>
      <c r="G171" s="6"/>
      <c r="H171" s="6"/>
      <c r="I171" s="10" t="s">
        <v>110</v>
      </c>
      <c r="J171" s="11" t="s">
        <v>888</v>
      </c>
      <c r="K171" s="102" t="s">
        <v>512</v>
      </c>
      <c r="L171" s="98"/>
      <c r="M171" s="98">
        <v>1000</v>
      </c>
      <c r="N171" s="60" t="s">
        <v>771</v>
      </c>
      <c r="O171" s="88"/>
      <c r="P171" s="60" t="s">
        <v>889</v>
      </c>
      <c r="Q171" s="60"/>
      <c r="R171" s="60"/>
      <c r="S171" s="89"/>
      <c r="T171" s="106"/>
      <c r="U171" s="88"/>
      <c r="V171" s="91"/>
      <c r="W171" s="12" t="s">
        <v>515</v>
      </c>
      <c r="X171" s="103"/>
      <c r="Y171" s="6" t="s">
        <v>890</v>
      </c>
      <c r="Z171" s="64" t="s">
        <v>517</v>
      </c>
      <c r="AA171" s="12">
        <v>29</v>
      </c>
      <c r="AB171" s="6" t="s">
        <v>148</v>
      </c>
      <c r="AC171" s="64">
        <v>3060</v>
      </c>
      <c r="AJ171" s="60"/>
      <c r="AK171" s="67" t="s">
        <v>518</v>
      </c>
      <c r="AN171" s="60"/>
      <c r="AO171" s="60"/>
      <c r="AP171" s="60"/>
      <c r="AQ171" s="60"/>
      <c r="AR171" s="72"/>
      <c r="AS171" s="60"/>
      <c r="AT171" s="7"/>
      <c r="AU171" s="7"/>
      <c r="AV171" s="92"/>
      <c r="AW171" s="93"/>
      <c r="AX171" s="77"/>
      <c r="AY171" s="80"/>
      <c r="AZ171" s="94"/>
      <c r="BA171" s="94"/>
      <c r="BB171" s="80" t="s">
        <v>519</v>
      </c>
      <c r="BC171" s="95"/>
      <c r="BD171" s="92"/>
      <c r="BE171" s="92"/>
      <c r="BF171" s="92"/>
      <c r="BG171" s="92"/>
      <c r="BH171" s="92"/>
      <c r="BI171" s="92"/>
      <c r="BJ171" s="92"/>
      <c r="BK171" s="92"/>
      <c r="BL171" s="92"/>
      <c r="BM171" s="92"/>
      <c r="BN171" s="92"/>
      <c r="BO171" s="92"/>
      <c r="BP171" s="92"/>
      <c r="BQ171" s="92"/>
      <c r="BS171" s="6"/>
      <c r="BT171" s="11"/>
      <c r="BU171" s="6"/>
      <c r="BV171" s="6"/>
    </row>
    <row r="172" spans="1:74" ht="15.75" x14ac:dyDescent="0.25">
      <c r="A172" s="50" t="s">
        <v>449</v>
      </c>
      <c r="B172" s="52"/>
      <c r="C172" s="7" t="s">
        <v>118</v>
      </c>
      <c r="D172" s="7" t="s">
        <v>769</v>
      </c>
      <c r="E172" s="7"/>
      <c r="F172" s="55"/>
      <c r="G172" s="6"/>
      <c r="H172" s="6"/>
      <c r="I172" s="10" t="s">
        <v>110</v>
      </c>
      <c r="J172" s="11" t="s">
        <v>891</v>
      </c>
      <c r="K172" s="102" t="s">
        <v>512</v>
      </c>
      <c r="L172" s="98"/>
      <c r="M172" s="98">
        <v>1000</v>
      </c>
      <c r="N172" s="60" t="s">
        <v>771</v>
      </c>
      <c r="O172" s="88"/>
      <c r="P172" s="60" t="s">
        <v>892</v>
      </c>
      <c r="Q172" s="60"/>
      <c r="R172" s="60"/>
      <c r="S172" s="89"/>
      <c r="T172" s="106"/>
      <c r="U172" s="88"/>
      <c r="V172" s="91"/>
      <c r="W172" s="12" t="s">
        <v>515</v>
      </c>
      <c r="X172" s="103"/>
      <c r="Y172" s="6" t="s">
        <v>890</v>
      </c>
      <c r="Z172" s="64" t="s">
        <v>522</v>
      </c>
      <c r="AA172" s="12">
        <v>29</v>
      </c>
      <c r="AB172" s="6" t="s">
        <v>148</v>
      </c>
      <c r="AC172" s="64">
        <v>3084</v>
      </c>
      <c r="AJ172" s="60"/>
      <c r="AK172" s="67" t="s">
        <v>450</v>
      </c>
      <c r="AN172" s="60"/>
      <c r="AO172" s="60"/>
      <c r="AP172" s="60"/>
      <c r="AQ172" s="60"/>
      <c r="AR172" s="72"/>
      <c r="AS172" s="60"/>
      <c r="AT172" s="7"/>
      <c r="AU172" s="7"/>
      <c r="AV172" s="92"/>
      <c r="AW172" s="93"/>
      <c r="AX172" s="77"/>
      <c r="AY172" s="80"/>
      <c r="AZ172" s="94"/>
      <c r="BA172" s="94"/>
      <c r="BB172" s="80" t="s">
        <v>519</v>
      </c>
      <c r="BC172" s="95"/>
      <c r="BD172" s="92"/>
      <c r="BE172" s="92"/>
      <c r="BF172" s="92"/>
      <c r="BG172" s="92"/>
      <c r="BH172" s="92"/>
      <c r="BI172" s="92"/>
      <c r="BJ172" s="92"/>
      <c r="BK172" s="92"/>
      <c r="BL172" s="92"/>
      <c r="BM172" s="92"/>
      <c r="BN172" s="92"/>
      <c r="BO172" s="92"/>
      <c r="BP172" s="92"/>
      <c r="BQ172" s="92"/>
      <c r="BS172" s="6"/>
      <c r="BT172" s="11"/>
      <c r="BU172" s="6"/>
      <c r="BV172" s="6"/>
    </row>
    <row r="173" spans="1:74" ht="15.75" x14ac:dyDescent="0.25">
      <c r="A173" s="50" t="s">
        <v>449</v>
      </c>
      <c r="B173" s="52"/>
      <c r="C173" s="7" t="s">
        <v>118</v>
      </c>
      <c r="D173" s="7" t="s">
        <v>769</v>
      </c>
      <c r="E173" s="7"/>
      <c r="F173" s="55"/>
      <c r="G173" s="6"/>
      <c r="H173" s="6"/>
      <c r="I173" s="10" t="s">
        <v>110</v>
      </c>
      <c r="J173" s="11" t="s">
        <v>893</v>
      </c>
      <c r="K173" s="102" t="s">
        <v>512</v>
      </c>
      <c r="L173" s="98"/>
      <c r="M173" s="98">
        <v>1000</v>
      </c>
      <c r="N173" s="60" t="s">
        <v>771</v>
      </c>
      <c r="O173" s="88"/>
      <c r="P173" s="60" t="s">
        <v>894</v>
      </c>
      <c r="Q173" s="60"/>
      <c r="R173" s="60"/>
      <c r="S173" s="89"/>
      <c r="T173" s="106"/>
      <c r="U173" s="88"/>
      <c r="V173" s="91"/>
      <c r="W173" s="12" t="s">
        <v>515</v>
      </c>
      <c r="X173" s="103"/>
      <c r="Y173" s="6" t="s">
        <v>895</v>
      </c>
      <c r="Z173" s="64" t="s">
        <v>517</v>
      </c>
      <c r="AA173" s="12">
        <v>30</v>
      </c>
      <c r="AB173" s="6" t="s">
        <v>148</v>
      </c>
      <c r="AC173" s="64">
        <v>3060</v>
      </c>
      <c r="AJ173" s="60"/>
      <c r="AK173" s="67" t="s">
        <v>518</v>
      </c>
      <c r="AN173" s="60"/>
      <c r="AO173" s="60"/>
      <c r="AP173" s="60"/>
      <c r="AQ173" s="60"/>
      <c r="AR173" s="72"/>
      <c r="AS173" s="60"/>
      <c r="AT173" s="7"/>
      <c r="AU173" s="7"/>
      <c r="AV173" s="92"/>
      <c r="AW173" s="93"/>
      <c r="AX173" s="77"/>
      <c r="AY173" s="80"/>
      <c r="AZ173" s="94"/>
      <c r="BA173" s="94"/>
      <c r="BB173" s="80" t="s">
        <v>519</v>
      </c>
      <c r="BC173" s="95"/>
      <c r="BD173" s="92"/>
      <c r="BE173" s="92"/>
      <c r="BF173" s="92"/>
      <c r="BG173" s="92"/>
      <c r="BH173" s="92"/>
      <c r="BI173" s="92"/>
      <c r="BJ173" s="92"/>
      <c r="BK173" s="92"/>
      <c r="BL173" s="92"/>
      <c r="BM173" s="92"/>
      <c r="BN173" s="92"/>
      <c r="BO173" s="92"/>
      <c r="BP173" s="92"/>
      <c r="BQ173" s="92"/>
      <c r="BS173" s="6"/>
      <c r="BT173" s="11"/>
      <c r="BU173" s="6"/>
      <c r="BV173" s="6"/>
    </row>
    <row r="174" spans="1:74" ht="15.75" x14ac:dyDescent="0.25">
      <c r="A174" s="50" t="s">
        <v>449</v>
      </c>
      <c r="B174" s="52"/>
      <c r="C174" s="7" t="s">
        <v>118</v>
      </c>
      <c r="D174" s="7" t="s">
        <v>769</v>
      </c>
      <c r="E174" s="7"/>
      <c r="F174" s="55"/>
      <c r="G174" s="6"/>
      <c r="H174" s="6"/>
      <c r="I174" s="10" t="s">
        <v>110</v>
      </c>
      <c r="J174" s="11" t="s">
        <v>896</v>
      </c>
      <c r="K174" s="102" t="s">
        <v>512</v>
      </c>
      <c r="L174" s="98"/>
      <c r="M174" s="98">
        <v>1000</v>
      </c>
      <c r="N174" s="60" t="s">
        <v>771</v>
      </c>
      <c r="O174" s="88"/>
      <c r="P174" s="60" t="s">
        <v>897</v>
      </c>
      <c r="Q174" s="60"/>
      <c r="R174" s="60"/>
      <c r="S174" s="89"/>
      <c r="T174" s="106"/>
      <c r="U174" s="88"/>
      <c r="V174" s="91"/>
      <c r="W174" s="12" t="s">
        <v>515</v>
      </c>
      <c r="X174" s="103"/>
      <c r="Y174" s="6" t="s">
        <v>895</v>
      </c>
      <c r="Z174" s="64" t="s">
        <v>522</v>
      </c>
      <c r="AA174" s="12">
        <v>30</v>
      </c>
      <c r="AB174" s="6" t="s">
        <v>148</v>
      </c>
      <c r="AC174" s="64">
        <v>3084</v>
      </c>
      <c r="AJ174" s="60"/>
      <c r="AK174" s="67" t="s">
        <v>450</v>
      </c>
      <c r="AN174" s="60"/>
      <c r="AO174" s="60"/>
      <c r="AP174" s="60"/>
      <c r="AQ174" s="60"/>
      <c r="AR174" s="72"/>
      <c r="AS174" s="60"/>
      <c r="AT174" s="7"/>
      <c r="AU174" s="7"/>
      <c r="AV174" s="92"/>
      <c r="AW174" s="93"/>
      <c r="AX174" s="77"/>
      <c r="AY174" s="80"/>
      <c r="AZ174" s="94"/>
      <c r="BA174" s="94"/>
      <c r="BB174" s="80" t="s">
        <v>519</v>
      </c>
      <c r="BC174" s="95"/>
      <c r="BD174" s="92"/>
      <c r="BE174" s="92"/>
      <c r="BF174" s="92"/>
      <c r="BG174" s="92"/>
      <c r="BH174" s="92"/>
      <c r="BI174" s="92"/>
      <c r="BJ174" s="92"/>
      <c r="BK174" s="92"/>
      <c r="BL174" s="92"/>
      <c r="BM174" s="92"/>
      <c r="BN174" s="92"/>
      <c r="BO174" s="92"/>
      <c r="BP174" s="92"/>
      <c r="BQ174" s="92"/>
      <c r="BS174" s="6"/>
      <c r="BT174" s="11"/>
      <c r="BU174" s="6"/>
      <c r="BV174" s="6"/>
    </row>
    <row r="175" spans="1:74" ht="15.75" x14ac:dyDescent="0.25">
      <c r="A175" s="50" t="s">
        <v>449</v>
      </c>
      <c r="B175" s="52"/>
      <c r="C175" s="7" t="s">
        <v>118</v>
      </c>
      <c r="D175" s="7" t="s">
        <v>769</v>
      </c>
      <c r="E175" s="7"/>
      <c r="F175" s="55"/>
      <c r="G175" s="6"/>
      <c r="H175" s="6"/>
      <c r="I175" s="10" t="s">
        <v>110</v>
      </c>
      <c r="J175" s="11" t="s">
        <v>898</v>
      </c>
      <c r="K175" s="102" t="s">
        <v>512</v>
      </c>
      <c r="L175" s="98"/>
      <c r="M175" s="98">
        <v>1000</v>
      </c>
      <c r="N175" s="60" t="s">
        <v>771</v>
      </c>
      <c r="O175" s="88"/>
      <c r="P175" s="60" t="s">
        <v>899</v>
      </c>
      <c r="Q175" s="60"/>
      <c r="R175" s="60"/>
      <c r="S175" s="89"/>
      <c r="T175" s="106"/>
      <c r="U175" s="88"/>
      <c r="V175" s="91"/>
      <c r="W175" s="12" t="s">
        <v>515</v>
      </c>
      <c r="X175" s="103"/>
      <c r="Y175" s="6" t="s">
        <v>900</v>
      </c>
      <c r="Z175" s="64" t="s">
        <v>517</v>
      </c>
      <c r="AA175" s="12">
        <v>32</v>
      </c>
      <c r="AB175" s="6" t="s">
        <v>148</v>
      </c>
      <c r="AC175" s="64">
        <v>3060</v>
      </c>
      <c r="AJ175" s="60"/>
      <c r="AK175" s="67" t="s">
        <v>518</v>
      </c>
      <c r="AN175" s="60"/>
      <c r="AO175" s="60"/>
      <c r="AP175" s="60"/>
      <c r="AQ175" s="60"/>
      <c r="AR175" s="72"/>
      <c r="AS175" s="60"/>
      <c r="AT175" s="7"/>
      <c r="AU175" s="7"/>
      <c r="AV175" s="92"/>
      <c r="AW175" s="93"/>
      <c r="AX175" s="77"/>
      <c r="AY175" s="80"/>
      <c r="AZ175" s="94"/>
      <c r="BA175" s="94"/>
      <c r="BB175" s="80" t="s">
        <v>519</v>
      </c>
      <c r="BC175" s="95"/>
      <c r="BD175" s="92"/>
      <c r="BE175" s="92"/>
      <c r="BF175" s="92"/>
      <c r="BG175" s="92"/>
      <c r="BH175" s="92"/>
      <c r="BI175" s="92"/>
      <c r="BJ175" s="92"/>
      <c r="BK175" s="92"/>
      <c r="BL175" s="92"/>
      <c r="BM175" s="92"/>
      <c r="BN175" s="92"/>
      <c r="BO175" s="92"/>
      <c r="BP175" s="92"/>
      <c r="BQ175" s="92"/>
      <c r="BS175" s="6"/>
      <c r="BT175" s="11"/>
      <c r="BU175" s="6"/>
      <c r="BV175" s="6"/>
    </row>
    <row r="176" spans="1:74" ht="15.75" x14ac:dyDescent="0.25">
      <c r="A176" s="50" t="s">
        <v>449</v>
      </c>
      <c r="B176" s="52"/>
      <c r="C176" s="7" t="s">
        <v>118</v>
      </c>
      <c r="D176" s="7" t="s">
        <v>769</v>
      </c>
      <c r="E176" s="7"/>
      <c r="F176" s="55"/>
      <c r="G176" s="6"/>
      <c r="H176" s="6"/>
      <c r="I176" s="10" t="s">
        <v>110</v>
      </c>
      <c r="J176" s="11" t="s">
        <v>901</v>
      </c>
      <c r="K176" s="102" t="s">
        <v>512</v>
      </c>
      <c r="L176" s="98"/>
      <c r="M176" s="98">
        <v>1000</v>
      </c>
      <c r="N176" s="60" t="s">
        <v>771</v>
      </c>
      <c r="O176" s="88"/>
      <c r="P176" s="60" t="s">
        <v>902</v>
      </c>
      <c r="Q176" s="60"/>
      <c r="R176" s="60"/>
      <c r="S176" s="89"/>
      <c r="T176" s="106"/>
      <c r="U176" s="88"/>
      <c r="V176" s="91"/>
      <c r="W176" s="12" t="s">
        <v>515</v>
      </c>
      <c r="X176" s="103"/>
      <c r="Y176" s="6" t="s">
        <v>900</v>
      </c>
      <c r="Z176" s="64" t="s">
        <v>522</v>
      </c>
      <c r="AA176" s="12">
        <v>32</v>
      </c>
      <c r="AB176" s="6" t="s">
        <v>148</v>
      </c>
      <c r="AC176" s="64">
        <v>3084</v>
      </c>
      <c r="AJ176" s="60"/>
      <c r="AK176" s="67" t="s">
        <v>450</v>
      </c>
      <c r="AN176" s="60"/>
      <c r="AO176" s="60"/>
      <c r="AP176" s="60"/>
      <c r="AQ176" s="60"/>
      <c r="AR176" s="72"/>
      <c r="AS176" s="60"/>
      <c r="AT176" s="7"/>
      <c r="AU176" s="7"/>
      <c r="AV176" s="92"/>
      <c r="AW176" s="93"/>
      <c r="AX176" s="77"/>
      <c r="AY176" s="80"/>
      <c r="AZ176" s="94"/>
      <c r="BA176" s="94"/>
      <c r="BB176" s="80" t="s">
        <v>519</v>
      </c>
      <c r="BC176" s="95"/>
      <c r="BD176" s="92"/>
      <c r="BE176" s="92"/>
      <c r="BF176" s="92"/>
      <c r="BG176" s="92"/>
      <c r="BH176" s="92"/>
      <c r="BI176" s="92"/>
      <c r="BJ176" s="92"/>
      <c r="BK176" s="92"/>
      <c r="BL176" s="92"/>
      <c r="BM176" s="92"/>
      <c r="BN176" s="92"/>
      <c r="BO176" s="92"/>
      <c r="BP176" s="92"/>
      <c r="BQ176" s="92"/>
      <c r="BS176" s="6"/>
      <c r="BT176" s="11"/>
      <c r="BU176" s="6"/>
      <c r="BV176" s="6"/>
    </row>
    <row r="177" spans="1:74" ht="15.75" x14ac:dyDescent="0.25">
      <c r="A177" s="50" t="s">
        <v>449</v>
      </c>
      <c r="B177" s="52"/>
      <c r="C177" s="7" t="s">
        <v>118</v>
      </c>
      <c r="D177" s="7" t="s">
        <v>769</v>
      </c>
      <c r="E177" s="7"/>
      <c r="F177" s="55"/>
      <c r="G177" s="6"/>
      <c r="H177" s="6"/>
      <c r="I177" s="10" t="s">
        <v>110</v>
      </c>
      <c r="J177" s="11" t="s">
        <v>903</v>
      </c>
      <c r="K177" s="102" t="s">
        <v>512</v>
      </c>
      <c r="L177" s="98"/>
      <c r="M177" s="98">
        <v>1000</v>
      </c>
      <c r="N177" s="60" t="s">
        <v>771</v>
      </c>
      <c r="O177" s="88"/>
      <c r="P177" s="60" t="s">
        <v>904</v>
      </c>
      <c r="Q177" s="60"/>
      <c r="R177" s="60"/>
      <c r="S177" s="89"/>
      <c r="T177" s="106"/>
      <c r="U177" s="88"/>
      <c r="V177" s="91"/>
      <c r="W177" s="12" t="s">
        <v>515</v>
      </c>
      <c r="X177" s="103"/>
      <c r="Y177" s="6" t="s">
        <v>905</v>
      </c>
      <c r="Z177" s="64" t="s">
        <v>517</v>
      </c>
      <c r="AA177" s="12">
        <v>33</v>
      </c>
      <c r="AB177" s="6" t="s">
        <v>148</v>
      </c>
      <c r="AC177" s="64">
        <v>3060</v>
      </c>
      <c r="AJ177" s="60"/>
      <c r="AK177" s="67" t="s">
        <v>518</v>
      </c>
      <c r="AN177" s="60"/>
      <c r="AO177" s="60"/>
      <c r="AP177" s="60"/>
      <c r="AQ177" s="60"/>
      <c r="AR177" s="72"/>
      <c r="AS177" s="60"/>
      <c r="AT177" s="7"/>
      <c r="AU177" s="7"/>
      <c r="AV177" s="92"/>
      <c r="AW177" s="93"/>
      <c r="AX177" s="77"/>
      <c r="AY177" s="80"/>
      <c r="AZ177" s="94"/>
      <c r="BA177" s="94"/>
      <c r="BB177" s="80" t="s">
        <v>519</v>
      </c>
      <c r="BC177" s="95"/>
      <c r="BD177" s="92"/>
      <c r="BE177" s="92"/>
      <c r="BF177" s="92"/>
      <c r="BG177" s="92"/>
      <c r="BH177" s="92"/>
      <c r="BI177" s="92"/>
      <c r="BJ177" s="92"/>
      <c r="BK177" s="92"/>
      <c r="BL177" s="92"/>
      <c r="BM177" s="92"/>
      <c r="BN177" s="92"/>
      <c r="BO177" s="92"/>
      <c r="BP177" s="92"/>
      <c r="BQ177" s="92"/>
      <c r="BS177" s="6"/>
      <c r="BT177" s="11"/>
      <c r="BU177" s="6"/>
      <c r="BV177" s="6"/>
    </row>
    <row r="178" spans="1:74" ht="15.75" x14ac:dyDescent="0.25">
      <c r="A178" s="50" t="s">
        <v>449</v>
      </c>
      <c r="B178" s="52"/>
      <c r="C178" s="7" t="s">
        <v>118</v>
      </c>
      <c r="D178" s="7" t="s">
        <v>769</v>
      </c>
      <c r="E178" s="7"/>
      <c r="F178" s="55"/>
      <c r="G178" s="6"/>
      <c r="H178" s="6"/>
      <c r="I178" s="10" t="s">
        <v>110</v>
      </c>
      <c r="J178" s="11" t="s">
        <v>906</v>
      </c>
      <c r="K178" s="102" t="s">
        <v>512</v>
      </c>
      <c r="L178" s="98"/>
      <c r="M178" s="98">
        <v>1000</v>
      </c>
      <c r="N178" s="60" t="s">
        <v>771</v>
      </c>
      <c r="O178" s="88"/>
      <c r="P178" s="60" t="s">
        <v>907</v>
      </c>
      <c r="Q178" s="60"/>
      <c r="R178" s="60"/>
      <c r="S178" s="89"/>
      <c r="T178" s="106"/>
      <c r="U178" s="88"/>
      <c r="V178" s="91"/>
      <c r="W178" s="12" t="s">
        <v>515</v>
      </c>
      <c r="X178" s="103"/>
      <c r="Y178" s="6" t="s">
        <v>905</v>
      </c>
      <c r="Z178" s="64" t="s">
        <v>522</v>
      </c>
      <c r="AA178" s="12">
        <v>33</v>
      </c>
      <c r="AB178" s="6" t="s">
        <v>148</v>
      </c>
      <c r="AC178" s="64">
        <v>3084</v>
      </c>
      <c r="AJ178" s="60"/>
      <c r="AK178" s="67" t="s">
        <v>450</v>
      </c>
      <c r="AN178" s="60"/>
      <c r="AO178" s="60"/>
      <c r="AP178" s="60"/>
      <c r="AQ178" s="60"/>
      <c r="AR178" s="72"/>
      <c r="AS178" s="60"/>
      <c r="AT178" s="7"/>
      <c r="AU178" s="7"/>
      <c r="AV178" s="92"/>
      <c r="AW178" s="93"/>
      <c r="AX178" s="77"/>
      <c r="AY178" s="80"/>
      <c r="AZ178" s="94"/>
      <c r="BA178" s="94"/>
      <c r="BB178" s="80" t="s">
        <v>519</v>
      </c>
      <c r="BC178" s="95"/>
      <c r="BD178" s="92"/>
      <c r="BE178" s="92"/>
      <c r="BF178" s="92"/>
      <c r="BG178" s="92"/>
      <c r="BH178" s="92"/>
      <c r="BI178" s="92"/>
      <c r="BJ178" s="92"/>
      <c r="BK178" s="92"/>
      <c r="BL178" s="92"/>
      <c r="BM178" s="92"/>
      <c r="BN178" s="92"/>
      <c r="BO178" s="92"/>
      <c r="BP178" s="92"/>
      <c r="BQ178" s="92"/>
      <c r="BS178" s="6"/>
      <c r="BT178" s="11"/>
      <c r="BU178" s="6"/>
      <c r="BV178" s="6"/>
    </row>
    <row r="179" spans="1:74" ht="15.75" x14ac:dyDescent="0.25">
      <c r="A179" s="50" t="s">
        <v>449</v>
      </c>
      <c r="B179" s="52"/>
      <c r="C179" s="7" t="s">
        <v>118</v>
      </c>
      <c r="D179" s="7" t="s">
        <v>769</v>
      </c>
      <c r="E179" s="7"/>
      <c r="F179" s="55"/>
      <c r="G179" s="6"/>
      <c r="H179" s="6"/>
      <c r="I179" s="10" t="s">
        <v>110</v>
      </c>
      <c r="J179" s="11" t="s">
        <v>908</v>
      </c>
      <c r="K179" s="102" t="s">
        <v>512</v>
      </c>
      <c r="L179" s="98"/>
      <c r="M179" s="98">
        <v>1000</v>
      </c>
      <c r="N179" s="60" t="s">
        <v>771</v>
      </c>
      <c r="O179" s="88"/>
      <c r="P179" s="60" t="s">
        <v>909</v>
      </c>
      <c r="Q179" s="60"/>
      <c r="R179" s="60"/>
      <c r="S179" s="89"/>
      <c r="T179" s="106"/>
      <c r="U179" s="88"/>
      <c r="V179" s="91"/>
      <c r="W179" s="12" t="s">
        <v>515</v>
      </c>
      <c r="X179" s="103"/>
      <c r="Y179" s="6" t="s">
        <v>910</v>
      </c>
      <c r="Z179" s="64" t="s">
        <v>517</v>
      </c>
      <c r="AA179" s="12">
        <v>34</v>
      </c>
      <c r="AB179" s="6" t="s">
        <v>148</v>
      </c>
      <c r="AC179" s="64">
        <v>3060</v>
      </c>
      <c r="AJ179" s="60"/>
      <c r="AK179" s="67" t="s">
        <v>518</v>
      </c>
      <c r="AN179" s="60"/>
      <c r="AO179" s="60"/>
      <c r="AP179" s="60"/>
      <c r="AQ179" s="60"/>
      <c r="AR179" s="72"/>
      <c r="AS179" s="60"/>
      <c r="AT179" s="7"/>
      <c r="AU179" s="7"/>
      <c r="AV179" s="92"/>
      <c r="AW179" s="93"/>
      <c r="AX179" s="77"/>
      <c r="AY179" s="80"/>
      <c r="AZ179" s="94"/>
      <c r="BA179" s="94"/>
      <c r="BB179" s="80" t="s">
        <v>519</v>
      </c>
      <c r="BC179" s="95"/>
      <c r="BD179" s="92"/>
      <c r="BE179" s="92"/>
      <c r="BF179" s="92"/>
      <c r="BG179" s="92"/>
      <c r="BH179" s="92"/>
      <c r="BI179" s="92"/>
      <c r="BJ179" s="92"/>
      <c r="BK179" s="92"/>
      <c r="BL179" s="92"/>
      <c r="BM179" s="92"/>
      <c r="BN179" s="92"/>
      <c r="BO179" s="92"/>
      <c r="BP179" s="92"/>
      <c r="BQ179" s="92"/>
      <c r="BS179" s="6"/>
      <c r="BT179" s="11"/>
      <c r="BU179" s="6"/>
      <c r="BV179" s="6"/>
    </row>
    <row r="180" spans="1:74" ht="15.75" x14ac:dyDescent="0.25">
      <c r="A180" s="50" t="s">
        <v>449</v>
      </c>
      <c r="B180" s="52"/>
      <c r="C180" s="7" t="s">
        <v>118</v>
      </c>
      <c r="D180" s="7" t="s">
        <v>769</v>
      </c>
      <c r="E180" s="7"/>
      <c r="F180" s="55"/>
      <c r="G180" s="6"/>
      <c r="H180" s="6"/>
      <c r="I180" s="10" t="s">
        <v>110</v>
      </c>
      <c r="J180" s="11" t="s">
        <v>911</v>
      </c>
      <c r="K180" s="102" t="s">
        <v>512</v>
      </c>
      <c r="L180" s="98"/>
      <c r="M180" s="98">
        <v>1000</v>
      </c>
      <c r="N180" s="60" t="s">
        <v>771</v>
      </c>
      <c r="O180" s="88"/>
      <c r="P180" s="60" t="s">
        <v>912</v>
      </c>
      <c r="Q180" s="60"/>
      <c r="R180" s="60"/>
      <c r="S180" s="89"/>
      <c r="T180" s="106"/>
      <c r="U180" s="88"/>
      <c r="V180" s="91"/>
      <c r="W180" s="12" t="s">
        <v>515</v>
      </c>
      <c r="X180" s="103"/>
      <c r="Y180" s="6" t="s">
        <v>910</v>
      </c>
      <c r="Z180" s="64" t="s">
        <v>522</v>
      </c>
      <c r="AA180" s="12">
        <v>34</v>
      </c>
      <c r="AB180" s="6" t="s">
        <v>148</v>
      </c>
      <c r="AC180" s="64">
        <v>3084</v>
      </c>
      <c r="AJ180" s="60"/>
      <c r="AK180" s="67" t="s">
        <v>450</v>
      </c>
      <c r="AN180" s="60"/>
      <c r="AO180" s="60"/>
      <c r="AP180" s="60"/>
      <c r="AQ180" s="60"/>
      <c r="AR180" s="72"/>
      <c r="AS180" s="60"/>
      <c r="AT180" s="7"/>
      <c r="AU180" s="7"/>
      <c r="AV180" s="92"/>
      <c r="AW180" s="93"/>
      <c r="AX180" s="77"/>
      <c r="AY180" s="80"/>
      <c r="AZ180" s="94"/>
      <c r="BA180" s="94"/>
      <c r="BB180" s="80" t="s">
        <v>519</v>
      </c>
      <c r="BC180" s="95"/>
      <c r="BD180" s="92"/>
      <c r="BE180" s="92"/>
      <c r="BF180" s="92"/>
      <c r="BG180" s="92"/>
      <c r="BH180" s="92"/>
      <c r="BI180" s="92"/>
      <c r="BJ180" s="92"/>
      <c r="BK180" s="92"/>
      <c r="BL180" s="92"/>
      <c r="BM180" s="92"/>
      <c r="BN180" s="92"/>
      <c r="BO180" s="92"/>
      <c r="BP180" s="92"/>
      <c r="BQ180" s="92"/>
      <c r="BS180" s="6"/>
      <c r="BT180" s="11"/>
      <c r="BU180" s="6"/>
      <c r="BV180" s="6"/>
    </row>
    <row r="181" spans="1:74" ht="15.75" x14ac:dyDescent="0.25">
      <c r="A181" s="50" t="s">
        <v>449</v>
      </c>
      <c r="B181" s="52"/>
      <c r="C181" s="7" t="s">
        <v>118</v>
      </c>
      <c r="D181" s="7" t="s">
        <v>769</v>
      </c>
      <c r="E181" s="7"/>
      <c r="F181" s="55"/>
      <c r="G181" s="6"/>
      <c r="H181" s="6"/>
      <c r="I181" s="10" t="s">
        <v>110</v>
      </c>
      <c r="J181" s="11" t="s">
        <v>913</v>
      </c>
      <c r="K181" s="102" t="s">
        <v>512</v>
      </c>
      <c r="L181" s="98"/>
      <c r="M181" s="98">
        <v>1000</v>
      </c>
      <c r="N181" s="60" t="s">
        <v>771</v>
      </c>
      <c r="O181" s="88"/>
      <c r="P181" s="60" t="s">
        <v>914</v>
      </c>
      <c r="Q181" s="60"/>
      <c r="R181" s="60"/>
      <c r="S181" s="89"/>
      <c r="T181" s="106"/>
      <c r="U181" s="88"/>
      <c r="V181" s="91"/>
      <c r="W181" s="12" t="s">
        <v>515</v>
      </c>
      <c r="X181" s="103"/>
      <c r="Y181" s="6" t="s">
        <v>915</v>
      </c>
      <c r="Z181" s="64" t="s">
        <v>517</v>
      </c>
      <c r="AA181" s="12">
        <v>35</v>
      </c>
      <c r="AB181" s="6" t="s">
        <v>148</v>
      </c>
      <c r="AC181" s="64">
        <v>3060</v>
      </c>
      <c r="AJ181" s="60"/>
      <c r="AK181" s="67" t="s">
        <v>518</v>
      </c>
      <c r="AN181" s="60"/>
      <c r="AO181" s="60"/>
      <c r="AP181" s="60"/>
      <c r="AQ181" s="60"/>
      <c r="AR181" s="72"/>
      <c r="AS181" s="60"/>
      <c r="AT181" s="7"/>
      <c r="AU181" s="7"/>
      <c r="AV181" s="92"/>
      <c r="AW181" s="93"/>
      <c r="AX181" s="77"/>
      <c r="AY181" s="80"/>
      <c r="AZ181" s="94"/>
      <c r="BA181" s="94"/>
      <c r="BB181" s="80" t="s">
        <v>519</v>
      </c>
      <c r="BC181" s="95"/>
      <c r="BD181" s="92"/>
      <c r="BE181" s="92"/>
      <c r="BF181" s="92"/>
      <c r="BG181" s="92"/>
      <c r="BH181" s="92"/>
      <c r="BI181" s="92"/>
      <c r="BJ181" s="92"/>
      <c r="BK181" s="92"/>
      <c r="BL181" s="92"/>
      <c r="BM181" s="92"/>
      <c r="BN181" s="92"/>
      <c r="BO181" s="92"/>
      <c r="BP181" s="92"/>
      <c r="BQ181" s="92"/>
      <c r="BS181" s="6"/>
      <c r="BT181" s="11"/>
      <c r="BU181" s="6"/>
      <c r="BV181" s="6"/>
    </row>
    <row r="182" spans="1:74" ht="15.75" x14ac:dyDescent="0.25">
      <c r="A182" s="50" t="s">
        <v>449</v>
      </c>
      <c r="B182" s="52"/>
      <c r="C182" s="7" t="s">
        <v>118</v>
      </c>
      <c r="D182" s="7" t="s">
        <v>769</v>
      </c>
      <c r="E182" s="7"/>
      <c r="F182" s="55"/>
      <c r="G182" s="6"/>
      <c r="H182" s="6"/>
      <c r="I182" s="10" t="s">
        <v>110</v>
      </c>
      <c r="J182" s="11" t="s">
        <v>916</v>
      </c>
      <c r="K182" s="102" t="s">
        <v>512</v>
      </c>
      <c r="L182" s="98"/>
      <c r="M182" s="98">
        <v>1000</v>
      </c>
      <c r="N182" s="60" t="s">
        <v>771</v>
      </c>
      <c r="O182" s="88"/>
      <c r="P182" s="60" t="s">
        <v>917</v>
      </c>
      <c r="Q182" s="60"/>
      <c r="R182" s="60"/>
      <c r="S182" s="89"/>
      <c r="T182" s="106"/>
      <c r="U182" s="88"/>
      <c r="V182" s="91"/>
      <c r="W182" s="12" t="s">
        <v>515</v>
      </c>
      <c r="X182" s="103"/>
      <c r="Y182" s="6" t="s">
        <v>915</v>
      </c>
      <c r="Z182" s="64" t="s">
        <v>522</v>
      </c>
      <c r="AA182" s="12">
        <v>35</v>
      </c>
      <c r="AB182" s="6" t="s">
        <v>148</v>
      </c>
      <c r="AC182" s="64">
        <v>3084</v>
      </c>
      <c r="AJ182" s="60"/>
      <c r="AK182" s="67" t="s">
        <v>450</v>
      </c>
      <c r="AN182" s="60"/>
      <c r="AO182" s="60"/>
      <c r="AP182" s="60"/>
      <c r="AQ182" s="60"/>
      <c r="AR182" s="72"/>
      <c r="AS182" s="60"/>
      <c r="AT182" s="7"/>
      <c r="AU182" s="7"/>
      <c r="AV182" s="92"/>
      <c r="AW182" s="93"/>
      <c r="AX182" s="77"/>
      <c r="AY182" s="80"/>
      <c r="AZ182" s="94"/>
      <c r="BA182" s="94"/>
      <c r="BB182" s="80" t="s">
        <v>519</v>
      </c>
      <c r="BC182" s="95"/>
      <c r="BD182" s="92"/>
      <c r="BE182" s="92"/>
      <c r="BF182" s="92"/>
      <c r="BG182" s="92"/>
      <c r="BH182" s="92"/>
      <c r="BI182" s="92"/>
      <c r="BJ182" s="92"/>
      <c r="BK182" s="92"/>
      <c r="BL182" s="92"/>
      <c r="BM182" s="92"/>
      <c r="BN182" s="92"/>
      <c r="BO182" s="92"/>
      <c r="BP182" s="92"/>
      <c r="BQ182" s="92"/>
      <c r="BS182" s="6"/>
      <c r="BT182" s="11"/>
      <c r="BU182" s="6"/>
      <c r="BV182" s="6"/>
    </row>
    <row r="183" spans="1:74" ht="15.75" x14ac:dyDescent="0.25">
      <c r="A183" s="50" t="s">
        <v>449</v>
      </c>
      <c r="B183" s="52"/>
      <c r="C183" s="7" t="s">
        <v>118</v>
      </c>
      <c r="D183" s="7" t="s">
        <v>769</v>
      </c>
      <c r="E183" s="7"/>
      <c r="F183" s="55"/>
      <c r="G183" s="6"/>
      <c r="H183" s="6"/>
      <c r="I183" s="10" t="s">
        <v>110</v>
      </c>
      <c r="J183" s="11" t="s">
        <v>918</v>
      </c>
      <c r="K183" s="102" t="s">
        <v>512</v>
      </c>
      <c r="L183" s="98"/>
      <c r="M183" s="98">
        <v>1000</v>
      </c>
      <c r="N183" s="60" t="s">
        <v>771</v>
      </c>
      <c r="O183" s="88"/>
      <c r="P183" s="60" t="s">
        <v>919</v>
      </c>
      <c r="Q183" s="60"/>
      <c r="R183" s="60"/>
      <c r="S183" s="89"/>
      <c r="T183" s="106"/>
      <c r="U183" s="88"/>
      <c r="V183" s="91"/>
      <c r="W183" s="12" t="s">
        <v>515</v>
      </c>
      <c r="X183" s="103"/>
      <c r="Y183" s="6" t="s">
        <v>920</v>
      </c>
      <c r="Z183" s="64" t="s">
        <v>517</v>
      </c>
      <c r="AA183" s="12">
        <v>36</v>
      </c>
      <c r="AB183" s="6" t="s">
        <v>148</v>
      </c>
      <c r="AC183" s="64">
        <v>3060</v>
      </c>
      <c r="AJ183" s="60"/>
      <c r="AK183" s="67" t="s">
        <v>518</v>
      </c>
      <c r="AN183" s="60"/>
      <c r="AO183" s="60"/>
      <c r="AP183" s="60"/>
      <c r="AQ183" s="60"/>
      <c r="AR183" s="72"/>
      <c r="AS183" s="60"/>
      <c r="AT183" s="7"/>
      <c r="AU183" s="7"/>
      <c r="AV183" s="92"/>
      <c r="AW183" s="93"/>
      <c r="AX183" s="77"/>
      <c r="AY183" s="80"/>
      <c r="AZ183" s="94"/>
      <c r="BA183" s="94"/>
      <c r="BB183" s="80" t="s">
        <v>519</v>
      </c>
      <c r="BC183" s="95"/>
      <c r="BD183" s="92"/>
      <c r="BE183" s="92"/>
      <c r="BF183" s="92"/>
      <c r="BG183" s="92"/>
      <c r="BH183" s="92"/>
      <c r="BI183" s="92"/>
      <c r="BJ183" s="92"/>
      <c r="BK183" s="92"/>
      <c r="BL183" s="92"/>
      <c r="BM183" s="92"/>
      <c r="BN183" s="92"/>
      <c r="BO183" s="92"/>
      <c r="BP183" s="92"/>
      <c r="BQ183" s="92"/>
      <c r="BS183" s="6"/>
      <c r="BT183" s="11"/>
      <c r="BU183" s="6"/>
      <c r="BV183" s="6"/>
    </row>
    <row r="184" spans="1:74" ht="15.75" x14ac:dyDescent="0.25">
      <c r="A184" s="50" t="s">
        <v>449</v>
      </c>
      <c r="B184" s="52"/>
      <c r="C184" s="7" t="s">
        <v>118</v>
      </c>
      <c r="D184" s="7" t="s">
        <v>769</v>
      </c>
      <c r="E184" s="7"/>
      <c r="F184" s="55"/>
      <c r="G184" s="6"/>
      <c r="H184" s="6"/>
      <c r="I184" s="10" t="s">
        <v>110</v>
      </c>
      <c r="J184" s="11" t="s">
        <v>921</v>
      </c>
      <c r="K184" s="102" t="s">
        <v>512</v>
      </c>
      <c r="L184" s="98"/>
      <c r="M184" s="98">
        <v>1000</v>
      </c>
      <c r="N184" s="60" t="s">
        <v>771</v>
      </c>
      <c r="O184" s="88"/>
      <c r="P184" s="60" t="s">
        <v>922</v>
      </c>
      <c r="Q184" s="60"/>
      <c r="R184" s="60"/>
      <c r="S184" s="89"/>
      <c r="T184" s="106"/>
      <c r="U184" s="88"/>
      <c r="V184" s="91"/>
      <c r="W184" s="12" t="s">
        <v>515</v>
      </c>
      <c r="X184" s="103"/>
      <c r="Y184" s="6" t="s">
        <v>920</v>
      </c>
      <c r="Z184" s="64" t="s">
        <v>522</v>
      </c>
      <c r="AA184" s="12">
        <v>36</v>
      </c>
      <c r="AB184" s="6" t="s">
        <v>148</v>
      </c>
      <c r="AC184" s="64">
        <v>3084</v>
      </c>
      <c r="AJ184" s="60"/>
      <c r="AK184" s="67" t="s">
        <v>450</v>
      </c>
      <c r="AN184" s="60"/>
      <c r="AO184" s="60"/>
      <c r="AP184" s="60"/>
      <c r="AQ184" s="60"/>
      <c r="AR184" s="72"/>
      <c r="AS184" s="60"/>
      <c r="AT184" s="7"/>
      <c r="AU184" s="7"/>
      <c r="AV184" s="92"/>
      <c r="AW184" s="93"/>
      <c r="AX184" s="77"/>
      <c r="AY184" s="80"/>
      <c r="AZ184" s="94"/>
      <c r="BA184" s="94"/>
      <c r="BB184" s="80" t="s">
        <v>519</v>
      </c>
      <c r="BC184" s="95"/>
      <c r="BD184" s="92"/>
      <c r="BE184" s="92"/>
      <c r="BF184" s="92"/>
      <c r="BG184" s="92"/>
      <c r="BH184" s="92"/>
      <c r="BI184" s="92"/>
      <c r="BJ184" s="92"/>
      <c r="BK184" s="92"/>
      <c r="BL184" s="92"/>
      <c r="BM184" s="92"/>
      <c r="BN184" s="92"/>
      <c r="BO184" s="92"/>
      <c r="BP184" s="92"/>
      <c r="BQ184" s="92"/>
      <c r="BS184" s="6"/>
      <c r="BT184" s="11"/>
      <c r="BU184" s="6"/>
      <c r="BV184" s="6"/>
    </row>
    <row r="185" spans="1:74" ht="15.75" x14ac:dyDescent="0.25">
      <c r="A185" s="50" t="s">
        <v>449</v>
      </c>
      <c r="B185" s="52"/>
      <c r="C185" s="7" t="s">
        <v>118</v>
      </c>
      <c r="D185" s="7" t="s">
        <v>769</v>
      </c>
      <c r="E185" s="7"/>
      <c r="F185" s="55"/>
      <c r="G185" s="6"/>
      <c r="H185" s="6"/>
      <c r="I185" s="10" t="s">
        <v>110</v>
      </c>
      <c r="J185" s="11" t="s">
        <v>923</v>
      </c>
      <c r="K185" s="102" t="s">
        <v>512</v>
      </c>
      <c r="L185" s="98"/>
      <c r="M185" s="98">
        <v>1000</v>
      </c>
      <c r="N185" s="60" t="s">
        <v>771</v>
      </c>
      <c r="O185" s="88"/>
      <c r="P185" s="60" t="s">
        <v>924</v>
      </c>
      <c r="Q185" s="60"/>
      <c r="R185" s="60"/>
      <c r="S185" s="89"/>
      <c r="T185" s="106"/>
      <c r="U185" s="88"/>
      <c r="V185" s="91"/>
      <c r="W185" s="12" t="s">
        <v>515</v>
      </c>
      <c r="X185" s="103"/>
      <c r="Y185" s="6" t="s">
        <v>925</v>
      </c>
      <c r="Z185" s="64" t="s">
        <v>517</v>
      </c>
      <c r="AA185" s="12">
        <v>37</v>
      </c>
      <c r="AB185" s="6" t="s">
        <v>148</v>
      </c>
      <c r="AC185" s="64">
        <v>3060</v>
      </c>
      <c r="AJ185" s="60"/>
      <c r="AK185" s="67" t="s">
        <v>518</v>
      </c>
      <c r="AN185" s="60"/>
      <c r="AO185" s="60"/>
      <c r="AP185" s="60"/>
      <c r="AQ185" s="60"/>
      <c r="AR185" s="72"/>
      <c r="AS185" s="60"/>
      <c r="AT185" s="7"/>
      <c r="AU185" s="7"/>
      <c r="AV185" s="92"/>
      <c r="AW185" s="93"/>
      <c r="AX185" s="77"/>
      <c r="AY185" s="80"/>
      <c r="AZ185" s="94"/>
      <c r="BA185" s="94"/>
      <c r="BB185" s="80" t="s">
        <v>519</v>
      </c>
      <c r="BC185" s="95"/>
      <c r="BD185" s="92"/>
      <c r="BE185" s="92"/>
      <c r="BF185" s="92"/>
      <c r="BG185" s="92"/>
      <c r="BH185" s="92"/>
      <c r="BI185" s="92"/>
      <c r="BJ185" s="92"/>
      <c r="BK185" s="92"/>
      <c r="BL185" s="92"/>
      <c r="BM185" s="92"/>
      <c r="BN185" s="92"/>
      <c r="BO185" s="92"/>
      <c r="BP185" s="92"/>
      <c r="BQ185" s="92"/>
      <c r="BS185" s="6"/>
      <c r="BT185" s="11"/>
      <c r="BU185" s="6"/>
      <c r="BV185" s="6"/>
    </row>
    <row r="186" spans="1:74" ht="15.75" x14ac:dyDescent="0.25">
      <c r="A186" s="50" t="s">
        <v>449</v>
      </c>
      <c r="B186" s="52"/>
      <c r="C186" s="7" t="s">
        <v>118</v>
      </c>
      <c r="D186" s="7" t="s">
        <v>769</v>
      </c>
      <c r="E186" s="7"/>
      <c r="F186" s="55"/>
      <c r="G186" s="6"/>
      <c r="H186" s="6"/>
      <c r="I186" s="10" t="s">
        <v>110</v>
      </c>
      <c r="J186" s="11" t="s">
        <v>926</v>
      </c>
      <c r="K186" s="102" t="s">
        <v>512</v>
      </c>
      <c r="L186" s="98"/>
      <c r="M186" s="98">
        <v>1000</v>
      </c>
      <c r="N186" s="60" t="s">
        <v>771</v>
      </c>
      <c r="O186" s="88"/>
      <c r="P186" s="60" t="s">
        <v>927</v>
      </c>
      <c r="Q186" s="60"/>
      <c r="R186" s="60"/>
      <c r="S186" s="89"/>
      <c r="T186" s="106"/>
      <c r="U186" s="88"/>
      <c r="V186" s="91"/>
      <c r="W186" s="12" t="s">
        <v>515</v>
      </c>
      <c r="X186" s="103"/>
      <c r="Y186" s="6" t="s">
        <v>925</v>
      </c>
      <c r="Z186" s="64" t="s">
        <v>522</v>
      </c>
      <c r="AA186" s="12">
        <v>37</v>
      </c>
      <c r="AB186" s="6" t="s">
        <v>148</v>
      </c>
      <c r="AC186" s="64">
        <v>3084</v>
      </c>
      <c r="AJ186" s="60"/>
      <c r="AK186" s="67" t="s">
        <v>450</v>
      </c>
      <c r="AN186" s="60"/>
      <c r="AO186" s="60"/>
      <c r="AP186" s="60"/>
      <c r="AQ186" s="60"/>
      <c r="AR186" s="72"/>
      <c r="AS186" s="60"/>
      <c r="AT186" s="7"/>
      <c r="AU186" s="7"/>
      <c r="AV186" s="92"/>
      <c r="AW186" s="93"/>
      <c r="AX186" s="77"/>
      <c r="AY186" s="80"/>
      <c r="AZ186" s="94"/>
      <c r="BA186" s="94"/>
      <c r="BB186" s="80" t="s">
        <v>519</v>
      </c>
      <c r="BC186" s="95"/>
      <c r="BD186" s="92"/>
      <c r="BE186" s="92"/>
      <c r="BF186" s="92"/>
      <c r="BG186" s="92"/>
      <c r="BH186" s="92"/>
      <c r="BI186" s="92"/>
      <c r="BJ186" s="92"/>
      <c r="BK186" s="92"/>
      <c r="BL186" s="92"/>
      <c r="BM186" s="92"/>
      <c r="BN186" s="92"/>
      <c r="BO186" s="92"/>
      <c r="BP186" s="92"/>
      <c r="BQ186" s="92"/>
      <c r="BS186" s="6"/>
      <c r="BT186" s="11"/>
      <c r="BU186" s="6"/>
      <c r="BV186" s="6"/>
    </row>
    <row r="187" spans="1:74" ht="15.75" x14ac:dyDescent="0.25">
      <c r="A187" s="50" t="s">
        <v>449</v>
      </c>
      <c r="B187" s="52"/>
      <c r="C187" s="7" t="s">
        <v>118</v>
      </c>
      <c r="D187" s="7" t="s">
        <v>769</v>
      </c>
      <c r="E187" s="7"/>
      <c r="F187" s="55"/>
      <c r="G187" s="6"/>
      <c r="H187" s="6"/>
      <c r="I187" s="10" t="s">
        <v>110</v>
      </c>
      <c r="J187" s="11" t="s">
        <v>928</v>
      </c>
      <c r="K187" s="102" t="s">
        <v>512</v>
      </c>
      <c r="L187" s="98"/>
      <c r="M187" s="98">
        <v>1000</v>
      </c>
      <c r="N187" s="60" t="s">
        <v>771</v>
      </c>
      <c r="O187" s="88"/>
      <c r="P187" s="60" t="s">
        <v>929</v>
      </c>
      <c r="Q187" s="60"/>
      <c r="R187" s="60"/>
      <c r="S187" s="89"/>
      <c r="T187" s="106"/>
      <c r="U187" s="88"/>
      <c r="V187" s="91"/>
      <c r="W187" s="12" t="s">
        <v>515</v>
      </c>
      <c r="X187" s="103"/>
      <c r="Y187" s="6" t="s">
        <v>930</v>
      </c>
      <c r="Z187" s="64" t="s">
        <v>517</v>
      </c>
      <c r="AA187" s="12">
        <v>38</v>
      </c>
      <c r="AB187" s="6" t="s">
        <v>148</v>
      </c>
      <c r="AC187" s="64">
        <v>3060</v>
      </c>
      <c r="AJ187" s="60"/>
      <c r="AK187" s="67" t="s">
        <v>518</v>
      </c>
      <c r="AN187" s="60"/>
      <c r="AO187" s="60"/>
      <c r="AP187" s="60"/>
      <c r="AQ187" s="60"/>
      <c r="AR187" s="72"/>
      <c r="AS187" s="60"/>
      <c r="AT187" s="7"/>
      <c r="AU187" s="7"/>
      <c r="AV187" s="92"/>
      <c r="AW187" s="93"/>
      <c r="AX187" s="77"/>
      <c r="AY187" s="80"/>
      <c r="AZ187" s="94"/>
      <c r="BA187" s="94"/>
      <c r="BB187" s="80" t="s">
        <v>519</v>
      </c>
      <c r="BC187" s="95"/>
      <c r="BD187" s="92"/>
      <c r="BE187" s="92"/>
      <c r="BF187" s="92"/>
      <c r="BG187" s="92"/>
      <c r="BH187" s="92"/>
      <c r="BI187" s="92"/>
      <c r="BJ187" s="92"/>
      <c r="BK187" s="92"/>
      <c r="BL187" s="92"/>
      <c r="BM187" s="92"/>
      <c r="BN187" s="92"/>
      <c r="BO187" s="92"/>
      <c r="BP187" s="92"/>
      <c r="BQ187" s="92"/>
      <c r="BS187" s="6"/>
      <c r="BT187" s="11"/>
      <c r="BU187" s="6"/>
      <c r="BV187" s="6"/>
    </row>
    <row r="188" spans="1:74" ht="15.75" x14ac:dyDescent="0.25">
      <c r="A188" s="50" t="s">
        <v>449</v>
      </c>
      <c r="B188" s="52"/>
      <c r="C188" s="7" t="s">
        <v>118</v>
      </c>
      <c r="D188" s="7" t="s">
        <v>769</v>
      </c>
      <c r="E188" s="7"/>
      <c r="F188" s="55"/>
      <c r="G188" s="6"/>
      <c r="H188" s="6"/>
      <c r="I188" s="10" t="s">
        <v>110</v>
      </c>
      <c r="J188" s="11" t="s">
        <v>931</v>
      </c>
      <c r="K188" s="102" t="s">
        <v>512</v>
      </c>
      <c r="L188" s="98"/>
      <c r="M188" s="98">
        <v>1000</v>
      </c>
      <c r="N188" s="60" t="s">
        <v>771</v>
      </c>
      <c r="O188" s="88"/>
      <c r="P188" s="60" t="s">
        <v>932</v>
      </c>
      <c r="Q188" s="60"/>
      <c r="R188" s="60"/>
      <c r="S188" s="89"/>
      <c r="T188" s="106"/>
      <c r="U188" s="88"/>
      <c r="V188" s="91"/>
      <c r="W188" s="12" t="s">
        <v>515</v>
      </c>
      <c r="X188" s="103"/>
      <c r="Y188" s="6" t="s">
        <v>930</v>
      </c>
      <c r="Z188" s="64" t="s">
        <v>522</v>
      </c>
      <c r="AA188" s="12">
        <v>38</v>
      </c>
      <c r="AB188" s="6" t="s">
        <v>148</v>
      </c>
      <c r="AC188" s="64">
        <v>3084</v>
      </c>
      <c r="AJ188" s="60"/>
      <c r="AK188" s="67" t="s">
        <v>450</v>
      </c>
      <c r="AN188" s="60"/>
      <c r="AO188" s="60"/>
      <c r="AP188" s="60"/>
      <c r="AQ188" s="60"/>
      <c r="AR188" s="72"/>
      <c r="AS188" s="60"/>
      <c r="AT188" s="7"/>
      <c r="AU188" s="7"/>
      <c r="AV188" s="92"/>
      <c r="AW188" s="93"/>
      <c r="AX188" s="77"/>
      <c r="AY188" s="80"/>
      <c r="AZ188" s="94"/>
      <c r="BA188" s="94"/>
      <c r="BB188" s="80" t="s">
        <v>519</v>
      </c>
      <c r="BC188" s="95"/>
      <c r="BD188" s="92"/>
      <c r="BE188" s="92"/>
      <c r="BF188" s="92"/>
      <c r="BG188" s="92"/>
      <c r="BH188" s="92"/>
      <c r="BI188" s="92"/>
      <c r="BJ188" s="92"/>
      <c r="BK188" s="92"/>
      <c r="BL188" s="92"/>
      <c r="BM188" s="92"/>
      <c r="BN188" s="92"/>
      <c r="BO188" s="92"/>
      <c r="BP188" s="92"/>
      <c r="BQ188" s="92"/>
      <c r="BS188" s="6"/>
      <c r="BT188" s="11"/>
      <c r="BU188" s="6"/>
      <c r="BV188" s="6"/>
    </row>
    <row r="189" spans="1:74" ht="15.75" x14ac:dyDescent="0.25">
      <c r="A189" s="50" t="s">
        <v>449</v>
      </c>
      <c r="B189" s="52"/>
      <c r="C189" s="7" t="s">
        <v>118</v>
      </c>
      <c r="D189" s="7" t="s">
        <v>769</v>
      </c>
      <c r="E189" s="7"/>
      <c r="F189" s="55"/>
      <c r="G189" s="6"/>
      <c r="H189" s="6"/>
      <c r="I189" s="10" t="s">
        <v>110</v>
      </c>
      <c r="J189" s="11" t="s">
        <v>933</v>
      </c>
      <c r="K189" s="102" t="s">
        <v>512</v>
      </c>
      <c r="L189" s="98"/>
      <c r="M189" s="98">
        <v>1000</v>
      </c>
      <c r="N189" s="60" t="s">
        <v>771</v>
      </c>
      <c r="O189" s="88"/>
      <c r="P189" s="60" t="s">
        <v>934</v>
      </c>
      <c r="Q189" s="60"/>
      <c r="R189" s="60"/>
      <c r="S189" s="89"/>
      <c r="T189" s="106"/>
      <c r="U189" s="88"/>
      <c r="V189" s="91"/>
      <c r="W189" s="12" t="s">
        <v>515</v>
      </c>
      <c r="X189" s="103"/>
      <c r="Y189" s="6" t="s">
        <v>935</v>
      </c>
      <c r="Z189" s="64" t="s">
        <v>517</v>
      </c>
      <c r="AA189" s="12">
        <v>39</v>
      </c>
      <c r="AB189" s="6" t="s">
        <v>148</v>
      </c>
      <c r="AC189" s="64">
        <v>3060</v>
      </c>
      <c r="AJ189" s="60"/>
      <c r="AK189" s="67" t="s">
        <v>518</v>
      </c>
      <c r="AN189" s="60"/>
      <c r="AO189" s="60"/>
      <c r="AP189" s="60"/>
      <c r="AQ189" s="60"/>
      <c r="AR189" s="72"/>
      <c r="AS189" s="60"/>
      <c r="AT189" s="7"/>
      <c r="AU189" s="7"/>
      <c r="AV189" s="92"/>
      <c r="AW189" s="93"/>
      <c r="AX189" s="77"/>
      <c r="AY189" s="80"/>
      <c r="AZ189" s="94"/>
      <c r="BA189" s="94"/>
      <c r="BB189" s="80" t="s">
        <v>519</v>
      </c>
      <c r="BC189" s="95"/>
      <c r="BD189" s="92"/>
      <c r="BE189" s="92"/>
      <c r="BF189" s="92"/>
      <c r="BG189" s="92"/>
      <c r="BH189" s="92"/>
      <c r="BI189" s="92"/>
      <c r="BJ189" s="92"/>
      <c r="BK189" s="92"/>
      <c r="BL189" s="92"/>
      <c r="BM189" s="92"/>
      <c r="BN189" s="92"/>
      <c r="BO189" s="92"/>
      <c r="BP189" s="92"/>
      <c r="BQ189" s="92"/>
      <c r="BS189" s="6"/>
      <c r="BT189" s="11"/>
      <c r="BU189" s="6"/>
      <c r="BV189" s="6"/>
    </row>
    <row r="190" spans="1:74" ht="15.75" x14ac:dyDescent="0.25">
      <c r="A190" s="50" t="s">
        <v>449</v>
      </c>
      <c r="B190" s="52"/>
      <c r="C190" s="7" t="s">
        <v>118</v>
      </c>
      <c r="D190" s="7" t="s">
        <v>769</v>
      </c>
      <c r="E190" s="7"/>
      <c r="F190" s="55"/>
      <c r="G190" s="6"/>
      <c r="H190" s="6"/>
      <c r="I190" s="10" t="s">
        <v>110</v>
      </c>
      <c r="J190" s="11" t="s">
        <v>936</v>
      </c>
      <c r="K190" s="102" t="s">
        <v>512</v>
      </c>
      <c r="L190" s="98"/>
      <c r="M190" s="98">
        <v>1000</v>
      </c>
      <c r="N190" s="60" t="s">
        <v>771</v>
      </c>
      <c r="O190" s="88"/>
      <c r="P190" s="60" t="s">
        <v>937</v>
      </c>
      <c r="Q190" s="60"/>
      <c r="R190" s="60"/>
      <c r="S190" s="89"/>
      <c r="T190" s="106"/>
      <c r="U190" s="88"/>
      <c r="V190" s="91"/>
      <c r="W190" s="12" t="s">
        <v>515</v>
      </c>
      <c r="X190" s="103"/>
      <c r="Y190" s="6" t="s">
        <v>935</v>
      </c>
      <c r="Z190" s="64" t="s">
        <v>522</v>
      </c>
      <c r="AA190" s="12">
        <v>39</v>
      </c>
      <c r="AB190" s="6" t="s">
        <v>148</v>
      </c>
      <c r="AC190" s="64">
        <v>3084</v>
      </c>
      <c r="AJ190" s="60"/>
      <c r="AK190" s="67" t="s">
        <v>450</v>
      </c>
      <c r="AN190" s="60"/>
      <c r="AO190" s="60"/>
      <c r="AP190" s="60"/>
      <c r="AQ190" s="60"/>
      <c r="AR190" s="72"/>
      <c r="AS190" s="60"/>
      <c r="AT190" s="7"/>
      <c r="AU190" s="7"/>
      <c r="AV190" s="92"/>
      <c r="AW190" s="93"/>
      <c r="AX190" s="77"/>
      <c r="AY190" s="80"/>
      <c r="AZ190" s="94"/>
      <c r="BA190" s="94"/>
      <c r="BB190" s="80" t="s">
        <v>519</v>
      </c>
      <c r="BC190" s="95"/>
      <c r="BD190" s="92"/>
      <c r="BE190" s="92"/>
      <c r="BF190" s="92"/>
      <c r="BG190" s="92"/>
      <c r="BH190" s="92"/>
      <c r="BI190" s="92"/>
      <c r="BJ190" s="92"/>
      <c r="BK190" s="92"/>
      <c r="BL190" s="92"/>
      <c r="BM190" s="92"/>
      <c r="BN190" s="92"/>
      <c r="BO190" s="92"/>
      <c r="BP190" s="92"/>
      <c r="BQ190" s="92"/>
      <c r="BS190" s="6"/>
      <c r="BT190" s="11"/>
      <c r="BU190" s="6"/>
      <c r="BV190" s="6"/>
    </row>
    <row r="191" spans="1:74" ht="15.75" x14ac:dyDescent="0.25">
      <c r="A191" s="50" t="s">
        <v>449</v>
      </c>
      <c r="B191" s="52"/>
      <c r="C191" s="7" t="s">
        <v>118</v>
      </c>
      <c r="D191" s="7" t="s">
        <v>769</v>
      </c>
      <c r="E191" s="7"/>
      <c r="F191" s="55"/>
      <c r="G191" s="6"/>
      <c r="H191" s="6"/>
      <c r="I191" s="10" t="s">
        <v>110</v>
      </c>
      <c r="J191" s="11" t="s">
        <v>938</v>
      </c>
      <c r="K191" s="102" t="s">
        <v>512</v>
      </c>
      <c r="L191" s="98"/>
      <c r="M191" s="98">
        <v>1000</v>
      </c>
      <c r="N191" s="60" t="s">
        <v>771</v>
      </c>
      <c r="O191" s="88"/>
      <c r="P191" s="60" t="s">
        <v>939</v>
      </c>
      <c r="Q191" s="60"/>
      <c r="R191" s="60"/>
      <c r="S191" s="89"/>
      <c r="T191" s="106"/>
      <c r="U191" s="88"/>
      <c r="V191" s="91"/>
      <c r="W191" s="12" t="s">
        <v>515</v>
      </c>
      <c r="X191" s="103"/>
      <c r="Y191" s="6" t="s">
        <v>940</v>
      </c>
      <c r="Z191" s="64" t="s">
        <v>517</v>
      </c>
      <c r="AA191" s="12">
        <v>40</v>
      </c>
      <c r="AB191" s="6" t="s">
        <v>148</v>
      </c>
      <c r="AC191" s="64">
        <v>3060</v>
      </c>
      <c r="AJ191" s="60"/>
      <c r="AK191" s="67" t="s">
        <v>518</v>
      </c>
      <c r="AN191" s="60"/>
      <c r="AO191" s="60"/>
      <c r="AP191" s="60"/>
      <c r="AQ191" s="60"/>
      <c r="AR191" s="72"/>
      <c r="AS191" s="60"/>
      <c r="AT191" s="7"/>
      <c r="AU191" s="7"/>
      <c r="AV191" s="92"/>
      <c r="AW191" s="93"/>
      <c r="AX191" s="77"/>
      <c r="AY191" s="80"/>
      <c r="AZ191" s="94"/>
      <c r="BA191" s="94"/>
      <c r="BB191" s="80" t="s">
        <v>519</v>
      </c>
      <c r="BC191" s="95"/>
      <c r="BD191" s="92"/>
      <c r="BE191" s="92"/>
      <c r="BF191" s="92"/>
      <c r="BG191" s="92"/>
      <c r="BH191" s="92"/>
      <c r="BI191" s="92"/>
      <c r="BJ191" s="92"/>
      <c r="BK191" s="92"/>
      <c r="BL191" s="92"/>
      <c r="BM191" s="92"/>
      <c r="BN191" s="92"/>
      <c r="BO191" s="92"/>
      <c r="BP191" s="92"/>
      <c r="BQ191" s="92"/>
      <c r="BS191" s="6"/>
      <c r="BT191" s="11"/>
      <c r="BU191" s="6"/>
      <c r="BV191" s="6"/>
    </row>
    <row r="192" spans="1:74" ht="15.75" x14ac:dyDescent="0.25">
      <c r="A192" s="50" t="s">
        <v>449</v>
      </c>
      <c r="B192" s="52"/>
      <c r="C192" s="7" t="s">
        <v>118</v>
      </c>
      <c r="D192" s="7" t="s">
        <v>769</v>
      </c>
      <c r="E192" s="7"/>
      <c r="F192" s="55"/>
      <c r="G192" s="6"/>
      <c r="H192" s="6"/>
      <c r="I192" s="10" t="s">
        <v>110</v>
      </c>
      <c r="J192" s="11" t="s">
        <v>941</v>
      </c>
      <c r="K192" s="102" t="s">
        <v>512</v>
      </c>
      <c r="L192" s="98"/>
      <c r="M192" s="98">
        <v>1000</v>
      </c>
      <c r="N192" s="60" t="s">
        <v>771</v>
      </c>
      <c r="O192" s="88"/>
      <c r="P192" s="60" t="s">
        <v>942</v>
      </c>
      <c r="Q192" s="60"/>
      <c r="R192" s="60"/>
      <c r="S192" s="89"/>
      <c r="T192" s="106"/>
      <c r="U192" s="88"/>
      <c r="V192" s="91"/>
      <c r="W192" s="12" t="s">
        <v>515</v>
      </c>
      <c r="X192" s="103"/>
      <c r="Y192" s="6" t="s">
        <v>940</v>
      </c>
      <c r="Z192" s="64" t="s">
        <v>522</v>
      </c>
      <c r="AA192" s="12">
        <v>40</v>
      </c>
      <c r="AB192" s="6" t="s">
        <v>148</v>
      </c>
      <c r="AC192" s="64">
        <v>3084</v>
      </c>
      <c r="AJ192" s="60"/>
      <c r="AK192" s="67" t="s">
        <v>450</v>
      </c>
      <c r="AN192" s="60"/>
      <c r="AO192" s="60"/>
      <c r="AP192" s="60"/>
      <c r="AQ192" s="60"/>
      <c r="AR192" s="72"/>
      <c r="AS192" s="60"/>
      <c r="AT192" s="7"/>
      <c r="AU192" s="7"/>
      <c r="AV192" s="92"/>
      <c r="AW192" s="93"/>
      <c r="AX192" s="77"/>
      <c r="AY192" s="80"/>
      <c r="AZ192" s="94"/>
      <c r="BA192" s="94"/>
      <c r="BB192" s="80" t="s">
        <v>519</v>
      </c>
      <c r="BC192" s="95"/>
      <c r="BD192" s="92"/>
      <c r="BE192" s="92"/>
      <c r="BF192" s="92"/>
      <c r="BG192" s="92"/>
      <c r="BH192" s="92"/>
      <c r="BI192" s="92"/>
      <c r="BJ192" s="92"/>
      <c r="BK192" s="92"/>
      <c r="BL192" s="92"/>
      <c r="BM192" s="92"/>
      <c r="BN192" s="92"/>
      <c r="BO192" s="92"/>
      <c r="BP192" s="92"/>
      <c r="BQ192" s="92"/>
      <c r="BS192" s="6"/>
      <c r="BT192" s="11"/>
      <c r="BU192" s="6"/>
      <c r="BV192" s="6"/>
    </row>
    <row r="193" spans="1:74" ht="15.75" x14ac:dyDescent="0.25">
      <c r="A193" s="50" t="s">
        <v>449</v>
      </c>
      <c r="B193" s="52"/>
      <c r="C193" s="7" t="s">
        <v>118</v>
      </c>
      <c r="D193" s="7" t="s">
        <v>769</v>
      </c>
      <c r="E193" s="7"/>
      <c r="F193" s="55"/>
      <c r="G193" s="6"/>
      <c r="H193" s="6"/>
      <c r="I193" s="10" t="s">
        <v>110</v>
      </c>
      <c r="J193" s="11" t="s">
        <v>943</v>
      </c>
      <c r="K193" s="102" t="s">
        <v>512</v>
      </c>
      <c r="L193" s="98"/>
      <c r="M193" s="98">
        <v>1000</v>
      </c>
      <c r="N193" s="60" t="s">
        <v>771</v>
      </c>
      <c r="O193" s="88"/>
      <c r="P193" s="60" t="s">
        <v>944</v>
      </c>
      <c r="Q193" s="60"/>
      <c r="R193" s="60"/>
      <c r="S193" s="89"/>
      <c r="T193" s="106"/>
      <c r="U193" s="88"/>
      <c r="V193" s="91"/>
      <c r="W193" s="12" t="s">
        <v>515</v>
      </c>
      <c r="X193" s="103"/>
      <c r="Y193" s="6" t="s">
        <v>945</v>
      </c>
      <c r="Z193" s="64" t="s">
        <v>517</v>
      </c>
      <c r="AA193" s="12">
        <v>41</v>
      </c>
      <c r="AB193" s="6" t="s">
        <v>148</v>
      </c>
      <c r="AC193" s="64">
        <v>3060</v>
      </c>
      <c r="AJ193" s="60"/>
      <c r="AK193" s="67" t="s">
        <v>518</v>
      </c>
      <c r="AN193" s="60"/>
      <c r="AO193" s="60"/>
      <c r="AP193" s="60"/>
      <c r="AQ193" s="60"/>
      <c r="AR193" s="72"/>
      <c r="AS193" s="60"/>
      <c r="AT193" s="7"/>
      <c r="AU193" s="7"/>
      <c r="AV193" s="92"/>
      <c r="AW193" s="93"/>
      <c r="AX193" s="77"/>
      <c r="AY193" s="80"/>
      <c r="AZ193" s="94"/>
      <c r="BA193" s="94"/>
      <c r="BB193" s="80" t="s">
        <v>519</v>
      </c>
      <c r="BC193" s="95"/>
      <c r="BD193" s="92"/>
      <c r="BE193" s="92"/>
      <c r="BF193" s="92"/>
      <c r="BG193" s="92"/>
      <c r="BH193" s="92"/>
      <c r="BI193" s="92"/>
      <c r="BJ193" s="92"/>
      <c r="BK193" s="92"/>
      <c r="BL193" s="92"/>
      <c r="BM193" s="92"/>
      <c r="BN193" s="92"/>
      <c r="BO193" s="92"/>
      <c r="BP193" s="92"/>
      <c r="BQ193" s="92"/>
      <c r="BS193" s="6"/>
      <c r="BT193" s="11"/>
      <c r="BU193" s="6"/>
      <c r="BV193" s="6"/>
    </row>
    <row r="194" spans="1:74" ht="15.75" x14ac:dyDescent="0.25">
      <c r="A194" s="50" t="s">
        <v>449</v>
      </c>
      <c r="B194" s="52"/>
      <c r="C194" s="7" t="s">
        <v>118</v>
      </c>
      <c r="D194" s="7" t="s">
        <v>769</v>
      </c>
      <c r="E194" s="7"/>
      <c r="F194" s="55"/>
      <c r="G194" s="6"/>
      <c r="H194" s="6"/>
      <c r="I194" s="10" t="s">
        <v>110</v>
      </c>
      <c r="J194" s="11" t="s">
        <v>946</v>
      </c>
      <c r="K194" s="102" t="s">
        <v>512</v>
      </c>
      <c r="L194" s="98"/>
      <c r="M194" s="98">
        <v>1000</v>
      </c>
      <c r="N194" s="60" t="s">
        <v>771</v>
      </c>
      <c r="O194" s="88"/>
      <c r="P194" s="60" t="s">
        <v>947</v>
      </c>
      <c r="Q194" s="60"/>
      <c r="R194" s="60"/>
      <c r="S194" s="89"/>
      <c r="T194" s="106"/>
      <c r="U194" s="88"/>
      <c r="V194" s="91"/>
      <c r="W194" s="12" t="s">
        <v>515</v>
      </c>
      <c r="X194" s="103"/>
      <c r="Y194" s="6" t="s">
        <v>945</v>
      </c>
      <c r="Z194" s="64" t="s">
        <v>522</v>
      </c>
      <c r="AA194" s="12">
        <v>41</v>
      </c>
      <c r="AB194" s="6" t="s">
        <v>148</v>
      </c>
      <c r="AC194" s="64">
        <v>3084</v>
      </c>
      <c r="AJ194" s="60"/>
      <c r="AK194" s="67" t="s">
        <v>450</v>
      </c>
      <c r="AN194" s="60"/>
      <c r="AO194" s="60"/>
      <c r="AP194" s="60"/>
      <c r="AQ194" s="60"/>
      <c r="AR194" s="72"/>
      <c r="AS194" s="60"/>
      <c r="AT194" s="7"/>
      <c r="AU194" s="7"/>
      <c r="AV194" s="92"/>
      <c r="AW194" s="93"/>
      <c r="AX194" s="77"/>
      <c r="AY194" s="80"/>
      <c r="AZ194" s="94"/>
      <c r="BA194" s="94"/>
      <c r="BB194" s="80" t="s">
        <v>519</v>
      </c>
      <c r="BC194" s="95"/>
      <c r="BD194" s="92"/>
      <c r="BE194" s="92"/>
      <c r="BF194" s="92"/>
      <c r="BG194" s="92"/>
      <c r="BH194" s="92"/>
      <c r="BI194" s="92"/>
      <c r="BJ194" s="92"/>
      <c r="BK194" s="92"/>
      <c r="BL194" s="92"/>
      <c r="BM194" s="92"/>
      <c r="BN194" s="92"/>
      <c r="BO194" s="92"/>
      <c r="BP194" s="92"/>
      <c r="BQ194" s="92"/>
      <c r="BS194" s="6"/>
      <c r="BT194" s="11"/>
      <c r="BU194" s="6"/>
      <c r="BV194" s="6"/>
    </row>
    <row r="195" spans="1:74" ht="15.75" x14ac:dyDescent="0.25">
      <c r="A195" s="50" t="s">
        <v>449</v>
      </c>
      <c r="B195" s="52"/>
      <c r="C195" s="7" t="s">
        <v>118</v>
      </c>
      <c r="D195" s="7" t="s">
        <v>769</v>
      </c>
      <c r="E195" s="7"/>
      <c r="F195" s="55"/>
      <c r="G195" s="6"/>
      <c r="H195" s="6"/>
      <c r="I195" s="10" t="s">
        <v>110</v>
      </c>
      <c r="J195" s="11" t="s">
        <v>948</v>
      </c>
      <c r="K195" s="102" t="s">
        <v>512</v>
      </c>
      <c r="L195" s="98"/>
      <c r="M195" s="98">
        <v>1000</v>
      </c>
      <c r="N195" s="60" t="s">
        <v>771</v>
      </c>
      <c r="O195" s="88"/>
      <c r="P195" s="60" t="s">
        <v>949</v>
      </c>
      <c r="Q195" s="60"/>
      <c r="R195" s="60"/>
      <c r="S195" s="89"/>
      <c r="T195" s="106"/>
      <c r="U195" s="88"/>
      <c r="V195" s="91"/>
      <c r="W195" s="12" t="s">
        <v>515</v>
      </c>
      <c r="X195" s="103"/>
      <c r="Y195" s="6" t="s">
        <v>950</v>
      </c>
      <c r="Z195" s="64" t="s">
        <v>517</v>
      </c>
      <c r="AA195" s="12">
        <v>42</v>
      </c>
      <c r="AB195" s="6" t="s">
        <v>148</v>
      </c>
      <c r="AC195" s="64">
        <v>3060</v>
      </c>
      <c r="AJ195" s="60"/>
      <c r="AK195" s="67" t="s">
        <v>518</v>
      </c>
      <c r="AN195" s="60"/>
      <c r="AO195" s="60"/>
      <c r="AP195" s="60"/>
      <c r="AQ195" s="60"/>
      <c r="AR195" s="72"/>
      <c r="AS195" s="60"/>
      <c r="AT195" s="7"/>
      <c r="AU195" s="7"/>
      <c r="AV195" s="92"/>
      <c r="AW195" s="93"/>
      <c r="AX195" s="77"/>
      <c r="AY195" s="80"/>
      <c r="AZ195" s="94"/>
      <c r="BA195" s="94"/>
      <c r="BB195" s="80" t="s">
        <v>519</v>
      </c>
      <c r="BC195" s="95"/>
      <c r="BD195" s="92"/>
      <c r="BE195" s="92"/>
      <c r="BF195" s="92"/>
      <c r="BG195" s="92"/>
      <c r="BH195" s="92"/>
      <c r="BI195" s="92"/>
      <c r="BJ195" s="92"/>
      <c r="BK195" s="92"/>
      <c r="BL195" s="92"/>
      <c r="BM195" s="92"/>
      <c r="BN195" s="92"/>
      <c r="BO195" s="92"/>
      <c r="BP195" s="92"/>
      <c r="BQ195" s="92"/>
      <c r="BS195" s="6"/>
      <c r="BT195" s="11"/>
      <c r="BU195" s="6"/>
      <c r="BV195" s="6"/>
    </row>
    <row r="196" spans="1:74" ht="15.75" x14ac:dyDescent="0.25">
      <c r="A196" s="50" t="s">
        <v>449</v>
      </c>
      <c r="B196" s="52"/>
      <c r="C196" s="7" t="s">
        <v>118</v>
      </c>
      <c r="D196" s="7" t="s">
        <v>769</v>
      </c>
      <c r="E196" s="7"/>
      <c r="F196" s="55"/>
      <c r="G196" s="6"/>
      <c r="H196" s="6"/>
      <c r="I196" s="10" t="s">
        <v>110</v>
      </c>
      <c r="J196" s="11" t="s">
        <v>951</v>
      </c>
      <c r="K196" s="102" t="s">
        <v>512</v>
      </c>
      <c r="L196" s="98"/>
      <c r="M196" s="98">
        <v>1000</v>
      </c>
      <c r="N196" s="60" t="s">
        <v>771</v>
      </c>
      <c r="O196" s="88"/>
      <c r="P196" s="60" t="s">
        <v>952</v>
      </c>
      <c r="Q196" s="60"/>
      <c r="R196" s="60"/>
      <c r="S196" s="89"/>
      <c r="T196" s="106"/>
      <c r="U196" s="88"/>
      <c r="V196" s="91"/>
      <c r="W196" s="12" t="s">
        <v>515</v>
      </c>
      <c r="X196" s="103"/>
      <c r="Y196" s="6" t="s">
        <v>950</v>
      </c>
      <c r="Z196" s="64" t="s">
        <v>522</v>
      </c>
      <c r="AA196" s="12">
        <v>42</v>
      </c>
      <c r="AB196" s="6" t="s">
        <v>148</v>
      </c>
      <c r="AC196" s="64">
        <v>3084</v>
      </c>
      <c r="AJ196" s="60"/>
      <c r="AK196" s="67" t="s">
        <v>450</v>
      </c>
      <c r="AN196" s="60"/>
      <c r="AO196" s="60"/>
      <c r="AP196" s="60"/>
      <c r="AQ196" s="60"/>
      <c r="AR196" s="72"/>
      <c r="AS196" s="60"/>
      <c r="AT196" s="7"/>
      <c r="AU196" s="7"/>
      <c r="AV196" s="92"/>
      <c r="AW196" s="93"/>
      <c r="AX196" s="77"/>
      <c r="AY196" s="80"/>
      <c r="AZ196" s="94"/>
      <c r="BA196" s="94"/>
      <c r="BB196" s="80" t="s">
        <v>519</v>
      </c>
      <c r="BC196" s="95"/>
      <c r="BD196" s="92"/>
      <c r="BE196" s="92"/>
      <c r="BF196" s="92"/>
      <c r="BG196" s="92"/>
      <c r="BH196" s="92"/>
      <c r="BI196" s="92"/>
      <c r="BJ196" s="92"/>
      <c r="BK196" s="92"/>
      <c r="BL196" s="92"/>
      <c r="BM196" s="92"/>
      <c r="BN196" s="92"/>
      <c r="BO196" s="92"/>
      <c r="BP196" s="92"/>
      <c r="BQ196" s="92"/>
      <c r="BS196" s="6"/>
      <c r="BT196" s="11"/>
      <c r="BU196" s="6"/>
      <c r="BV196" s="6"/>
    </row>
    <row r="197" spans="1:74" ht="15.75" x14ac:dyDescent="0.25">
      <c r="A197" s="50" t="s">
        <v>449</v>
      </c>
      <c r="B197" s="52"/>
      <c r="C197" s="7" t="s">
        <v>118</v>
      </c>
      <c r="D197" s="7" t="s">
        <v>769</v>
      </c>
      <c r="E197" s="7"/>
      <c r="F197" s="55"/>
      <c r="G197" s="6"/>
      <c r="H197" s="6"/>
      <c r="I197" s="10" t="s">
        <v>110</v>
      </c>
      <c r="J197" s="11" t="s">
        <v>953</v>
      </c>
      <c r="K197" s="102" t="s">
        <v>512</v>
      </c>
      <c r="L197" s="98"/>
      <c r="M197" s="98">
        <v>1000</v>
      </c>
      <c r="N197" s="60" t="s">
        <v>771</v>
      </c>
      <c r="O197" s="88"/>
      <c r="P197" s="60" t="s">
        <v>954</v>
      </c>
      <c r="Q197" s="60"/>
      <c r="R197" s="60"/>
      <c r="S197" s="89"/>
      <c r="T197" s="106"/>
      <c r="U197" s="88"/>
      <c r="V197" s="91"/>
      <c r="W197" s="12" t="s">
        <v>515</v>
      </c>
      <c r="X197" s="103"/>
      <c r="Y197" s="6" t="s">
        <v>955</v>
      </c>
      <c r="Z197" s="64" t="s">
        <v>517</v>
      </c>
      <c r="AA197" s="12">
        <v>43</v>
      </c>
      <c r="AB197" s="6" t="s">
        <v>148</v>
      </c>
      <c r="AC197" s="64">
        <v>3060</v>
      </c>
      <c r="AJ197" s="60"/>
      <c r="AK197" s="67" t="s">
        <v>518</v>
      </c>
      <c r="AN197" s="60"/>
      <c r="AO197" s="60"/>
      <c r="AP197" s="60"/>
      <c r="AQ197" s="60"/>
      <c r="AR197" s="72"/>
      <c r="AS197" s="60"/>
      <c r="AT197" s="7"/>
      <c r="AU197" s="7"/>
      <c r="AV197" s="92"/>
      <c r="AW197" s="93"/>
      <c r="AX197" s="77"/>
      <c r="AY197" s="80"/>
      <c r="AZ197" s="94"/>
      <c r="BA197" s="94"/>
      <c r="BB197" s="80" t="s">
        <v>519</v>
      </c>
      <c r="BC197" s="95"/>
      <c r="BD197" s="92"/>
      <c r="BE197" s="92"/>
      <c r="BF197" s="92"/>
      <c r="BG197" s="92"/>
      <c r="BH197" s="92"/>
      <c r="BI197" s="92"/>
      <c r="BJ197" s="92"/>
      <c r="BK197" s="92"/>
      <c r="BL197" s="92"/>
      <c r="BM197" s="92"/>
      <c r="BN197" s="92"/>
      <c r="BO197" s="92"/>
      <c r="BP197" s="92"/>
      <c r="BQ197" s="92"/>
      <c r="BS197" s="6"/>
      <c r="BT197" s="11"/>
      <c r="BU197" s="6"/>
      <c r="BV197" s="6"/>
    </row>
    <row r="198" spans="1:74" ht="15.75" x14ac:dyDescent="0.25">
      <c r="A198" s="50" t="s">
        <v>449</v>
      </c>
      <c r="B198" s="52"/>
      <c r="C198" s="7" t="s">
        <v>118</v>
      </c>
      <c r="D198" s="7" t="s">
        <v>769</v>
      </c>
      <c r="E198" s="7"/>
      <c r="F198" s="55"/>
      <c r="G198" s="6"/>
      <c r="H198" s="6"/>
      <c r="I198" s="10" t="s">
        <v>110</v>
      </c>
      <c r="J198" s="11" t="s">
        <v>956</v>
      </c>
      <c r="K198" s="102" t="s">
        <v>512</v>
      </c>
      <c r="L198" s="98"/>
      <c r="M198" s="98">
        <v>1000</v>
      </c>
      <c r="N198" s="60" t="s">
        <v>771</v>
      </c>
      <c r="O198" s="88"/>
      <c r="P198" s="60" t="s">
        <v>957</v>
      </c>
      <c r="Q198" s="60"/>
      <c r="R198" s="60"/>
      <c r="S198" s="89"/>
      <c r="T198" s="106"/>
      <c r="U198" s="88"/>
      <c r="V198" s="91"/>
      <c r="W198" s="12" t="s">
        <v>515</v>
      </c>
      <c r="X198" s="103"/>
      <c r="Y198" s="6" t="s">
        <v>955</v>
      </c>
      <c r="Z198" s="64" t="s">
        <v>522</v>
      </c>
      <c r="AA198" s="12">
        <v>43</v>
      </c>
      <c r="AB198" s="6" t="s">
        <v>148</v>
      </c>
      <c r="AC198" s="64">
        <v>3084</v>
      </c>
      <c r="AJ198" s="60"/>
      <c r="AK198" s="67" t="s">
        <v>450</v>
      </c>
      <c r="AN198" s="60"/>
      <c r="AO198" s="60"/>
      <c r="AP198" s="60"/>
      <c r="AQ198" s="60"/>
      <c r="AR198" s="72"/>
      <c r="AS198" s="60"/>
      <c r="AT198" s="7"/>
      <c r="AU198" s="7"/>
      <c r="AV198" s="92"/>
      <c r="AW198" s="93"/>
      <c r="AX198" s="77"/>
      <c r="AY198" s="80"/>
      <c r="AZ198" s="94"/>
      <c r="BA198" s="94"/>
      <c r="BB198" s="80" t="s">
        <v>519</v>
      </c>
      <c r="BC198" s="95"/>
      <c r="BD198" s="92"/>
      <c r="BE198" s="92"/>
      <c r="BF198" s="92"/>
      <c r="BG198" s="92"/>
      <c r="BH198" s="92"/>
      <c r="BI198" s="92"/>
      <c r="BJ198" s="92"/>
      <c r="BK198" s="92"/>
      <c r="BL198" s="92"/>
      <c r="BM198" s="92"/>
      <c r="BN198" s="92"/>
      <c r="BO198" s="92"/>
      <c r="BP198" s="92"/>
      <c r="BQ198" s="92"/>
      <c r="BS198" s="6"/>
      <c r="BT198" s="11"/>
      <c r="BU198" s="6"/>
      <c r="BV198" s="6"/>
    </row>
    <row r="199" spans="1:74" ht="15.75" x14ac:dyDescent="0.25">
      <c r="A199" s="50" t="s">
        <v>449</v>
      </c>
      <c r="B199" s="52"/>
      <c r="C199" s="7" t="s">
        <v>118</v>
      </c>
      <c r="D199" s="7" t="s">
        <v>769</v>
      </c>
      <c r="E199" s="7"/>
      <c r="F199" s="55"/>
      <c r="G199" s="6"/>
      <c r="H199" s="6"/>
      <c r="I199" s="10" t="s">
        <v>110</v>
      </c>
      <c r="J199" s="11" t="s">
        <v>958</v>
      </c>
      <c r="K199" s="102" t="s">
        <v>512</v>
      </c>
      <c r="L199" s="98"/>
      <c r="M199" s="98">
        <v>1000</v>
      </c>
      <c r="N199" s="60" t="s">
        <v>771</v>
      </c>
      <c r="O199" s="88"/>
      <c r="P199" s="60" t="s">
        <v>959</v>
      </c>
      <c r="Q199" s="60"/>
      <c r="R199" s="60"/>
      <c r="S199" s="89"/>
      <c r="T199" s="106"/>
      <c r="U199" s="88"/>
      <c r="V199" s="91"/>
      <c r="W199" s="12" t="s">
        <v>515</v>
      </c>
      <c r="X199" s="103"/>
      <c r="Y199" s="6" t="s">
        <v>960</v>
      </c>
      <c r="Z199" s="64" t="s">
        <v>517</v>
      </c>
      <c r="AA199" s="12">
        <v>44</v>
      </c>
      <c r="AB199" s="6" t="s">
        <v>148</v>
      </c>
      <c r="AC199" s="64">
        <v>3060</v>
      </c>
      <c r="AJ199" s="60"/>
      <c r="AK199" s="67" t="s">
        <v>518</v>
      </c>
      <c r="AN199" s="60"/>
      <c r="AO199" s="60"/>
      <c r="AP199" s="60"/>
      <c r="AQ199" s="60"/>
      <c r="AR199" s="72"/>
      <c r="AS199" s="60"/>
      <c r="AT199" s="7"/>
      <c r="AU199" s="7"/>
      <c r="AV199" s="92"/>
      <c r="AW199" s="93"/>
      <c r="AX199" s="77"/>
      <c r="AY199" s="80"/>
      <c r="AZ199" s="94"/>
      <c r="BA199" s="94"/>
      <c r="BB199" s="80" t="s">
        <v>519</v>
      </c>
      <c r="BC199" s="95"/>
      <c r="BD199" s="92"/>
      <c r="BE199" s="92"/>
      <c r="BF199" s="92"/>
      <c r="BG199" s="92"/>
      <c r="BH199" s="92"/>
      <c r="BI199" s="92"/>
      <c r="BJ199" s="92"/>
      <c r="BK199" s="92"/>
      <c r="BL199" s="92"/>
      <c r="BM199" s="92"/>
      <c r="BN199" s="92"/>
      <c r="BO199" s="92"/>
      <c r="BP199" s="92"/>
      <c r="BQ199" s="92"/>
      <c r="BS199" s="6"/>
      <c r="BT199" s="11"/>
      <c r="BU199" s="6"/>
      <c r="BV199" s="6"/>
    </row>
    <row r="200" spans="1:74" ht="15.75" x14ac:dyDescent="0.25">
      <c r="A200" s="50" t="s">
        <v>449</v>
      </c>
      <c r="B200" s="52"/>
      <c r="C200" s="7" t="s">
        <v>118</v>
      </c>
      <c r="D200" s="7" t="s">
        <v>769</v>
      </c>
      <c r="E200" s="7"/>
      <c r="F200" s="55"/>
      <c r="G200" s="6"/>
      <c r="H200" s="6"/>
      <c r="I200" s="10" t="s">
        <v>110</v>
      </c>
      <c r="J200" s="11" t="s">
        <v>961</v>
      </c>
      <c r="K200" s="102" t="s">
        <v>512</v>
      </c>
      <c r="L200" s="98"/>
      <c r="M200" s="98">
        <v>1000</v>
      </c>
      <c r="N200" s="60" t="s">
        <v>771</v>
      </c>
      <c r="O200" s="88"/>
      <c r="P200" s="60" t="s">
        <v>962</v>
      </c>
      <c r="Q200" s="60"/>
      <c r="R200" s="60"/>
      <c r="S200" s="89"/>
      <c r="T200" s="106"/>
      <c r="U200" s="88"/>
      <c r="V200" s="91"/>
      <c r="W200" s="12" t="s">
        <v>515</v>
      </c>
      <c r="X200" s="103"/>
      <c r="Y200" s="6" t="s">
        <v>960</v>
      </c>
      <c r="Z200" s="64" t="s">
        <v>522</v>
      </c>
      <c r="AA200" s="12">
        <v>44</v>
      </c>
      <c r="AB200" s="6" t="s">
        <v>148</v>
      </c>
      <c r="AC200" s="64">
        <v>3084</v>
      </c>
      <c r="AJ200" s="60"/>
      <c r="AK200" s="67" t="s">
        <v>450</v>
      </c>
      <c r="AN200" s="60"/>
      <c r="AO200" s="60"/>
      <c r="AP200" s="60"/>
      <c r="AQ200" s="60"/>
      <c r="AR200" s="72"/>
      <c r="AS200" s="60"/>
      <c r="AT200" s="7"/>
      <c r="AU200" s="7"/>
      <c r="AV200" s="92"/>
      <c r="AW200" s="93"/>
      <c r="AX200" s="77"/>
      <c r="AY200" s="80"/>
      <c r="AZ200" s="94"/>
      <c r="BA200" s="94"/>
      <c r="BB200" s="80" t="s">
        <v>519</v>
      </c>
      <c r="BC200" s="95"/>
      <c r="BD200" s="92"/>
      <c r="BE200" s="92"/>
      <c r="BF200" s="92"/>
      <c r="BG200" s="92"/>
      <c r="BH200" s="92"/>
      <c r="BI200" s="92"/>
      <c r="BJ200" s="92"/>
      <c r="BK200" s="92"/>
      <c r="BL200" s="92"/>
      <c r="BM200" s="92"/>
      <c r="BN200" s="92"/>
      <c r="BO200" s="92"/>
      <c r="BP200" s="92"/>
      <c r="BQ200" s="92"/>
      <c r="BS200" s="6"/>
      <c r="BT200" s="11"/>
      <c r="BU200" s="6"/>
      <c r="BV200" s="6"/>
    </row>
    <row r="201" spans="1:74" ht="15.75" x14ac:dyDescent="0.25">
      <c r="A201" s="50" t="s">
        <v>449</v>
      </c>
      <c r="B201" s="52"/>
      <c r="C201" s="7" t="s">
        <v>118</v>
      </c>
      <c r="D201" s="7" t="s">
        <v>769</v>
      </c>
      <c r="E201" s="7"/>
      <c r="F201" s="55"/>
      <c r="G201" s="6"/>
      <c r="H201" s="6"/>
      <c r="I201" s="10" t="s">
        <v>110</v>
      </c>
      <c r="J201" s="11" t="s">
        <v>963</v>
      </c>
      <c r="K201" s="102" t="s">
        <v>512</v>
      </c>
      <c r="L201" s="98"/>
      <c r="M201" s="98">
        <v>1000</v>
      </c>
      <c r="N201" s="60" t="s">
        <v>771</v>
      </c>
      <c r="O201" s="88"/>
      <c r="P201" s="60" t="s">
        <v>964</v>
      </c>
      <c r="Q201" s="60"/>
      <c r="R201" s="60"/>
      <c r="S201" s="89"/>
      <c r="T201" s="106"/>
      <c r="U201" s="88"/>
      <c r="V201" s="91"/>
      <c r="W201" s="12" t="s">
        <v>515</v>
      </c>
      <c r="X201" s="103"/>
      <c r="Y201" s="6" t="s">
        <v>965</v>
      </c>
      <c r="Z201" s="64" t="s">
        <v>517</v>
      </c>
      <c r="AA201" s="12">
        <v>45</v>
      </c>
      <c r="AB201" s="6" t="s">
        <v>148</v>
      </c>
      <c r="AC201" s="64">
        <v>3060</v>
      </c>
      <c r="AJ201" s="60"/>
      <c r="AK201" s="67" t="s">
        <v>518</v>
      </c>
      <c r="AN201" s="60"/>
      <c r="AO201" s="60"/>
      <c r="AP201" s="60"/>
      <c r="AQ201" s="60"/>
      <c r="AR201" s="72"/>
      <c r="AS201" s="60"/>
      <c r="AT201" s="7"/>
      <c r="AU201" s="7"/>
      <c r="AV201" s="92"/>
      <c r="AW201" s="93"/>
      <c r="AX201" s="77"/>
      <c r="AY201" s="80"/>
      <c r="AZ201" s="94"/>
      <c r="BA201" s="94"/>
      <c r="BB201" s="80" t="s">
        <v>519</v>
      </c>
      <c r="BC201" s="95"/>
      <c r="BD201" s="92"/>
      <c r="BE201" s="92"/>
      <c r="BF201" s="92"/>
      <c r="BG201" s="92"/>
      <c r="BH201" s="92"/>
      <c r="BI201" s="92"/>
      <c r="BJ201" s="92"/>
      <c r="BK201" s="92"/>
      <c r="BL201" s="92"/>
      <c r="BM201" s="92"/>
      <c r="BN201" s="92"/>
      <c r="BO201" s="92"/>
      <c r="BP201" s="92"/>
      <c r="BQ201" s="92"/>
      <c r="BS201" s="6"/>
      <c r="BT201" s="11"/>
      <c r="BU201" s="6"/>
      <c r="BV201" s="6"/>
    </row>
    <row r="202" spans="1:74" ht="15.75" x14ac:dyDescent="0.25">
      <c r="A202" s="50" t="s">
        <v>449</v>
      </c>
      <c r="B202" s="52"/>
      <c r="C202" s="7" t="s">
        <v>118</v>
      </c>
      <c r="D202" s="7" t="s">
        <v>769</v>
      </c>
      <c r="E202" s="7"/>
      <c r="F202" s="55"/>
      <c r="G202" s="6"/>
      <c r="H202" s="6"/>
      <c r="I202" s="10" t="s">
        <v>110</v>
      </c>
      <c r="J202" s="11" t="s">
        <v>966</v>
      </c>
      <c r="K202" s="102" t="s">
        <v>512</v>
      </c>
      <c r="L202" s="98"/>
      <c r="M202" s="98">
        <v>1000</v>
      </c>
      <c r="N202" s="60" t="s">
        <v>771</v>
      </c>
      <c r="O202" s="88"/>
      <c r="P202" s="60" t="s">
        <v>967</v>
      </c>
      <c r="Q202" s="60"/>
      <c r="R202" s="60"/>
      <c r="S202" s="89"/>
      <c r="T202" s="106"/>
      <c r="U202" s="88"/>
      <c r="V202" s="91"/>
      <c r="W202" s="12" t="s">
        <v>515</v>
      </c>
      <c r="X202" s="103"/>
      <c r="Y202" s="6" t="s">
        <v>965</v>
      </c>
      <c r="Z202" s="64" t="s">
        <v>522</v>
      </c>
      <c r="AA202" s="12">
        <v>45</v>
      </c>
      <c r="AB202" s="6" t="s">
        <v>148</v>
      </c>
      <c r="AC202" s="64">
        <v>3084</v>
      </c>
      <c r="AJ202" s="60"/>
      <c r="AK202" s="67" t="s">
        <v>450</v>
      </c>
      <c r="AN202" s="60"/>
      <c r="AO202" s="60"/>
      <c r="AP202" s="60"/>
      <c r="AQ202" s="60"/>
      <c r="AR202" s="72"/>
      <c r="AS202" s="60"/>
      <c r="AT202" s="7"/>
      <c r="AU202" s="7"/>
      <c r="AV202" s="92"/>
      <c r="AW202" s="93"/>
      <c r="AX202" s="77"/>
      <c r="AY202" s="80"/>
      <c r="AZ202" s="94"/>
      <c r="BA202" s="94"/>
      <c r="BB202" s="80" t="s">
        <v>519</v>
      </c>
      <c r="BC202" s="95"/>
      <c r="BD202" s="92"/>
      <c r="BE202" s="92"/>
      <c r="BF202" s="92"/>
      <c r="BG202" s="92"/>
      <c r="BH202" s="92"/>
      <c r="BI202" s="92"/>
      <c r="BJ202" s="92"/>
      <c r="BK202" s="92"/>
      <c r="BL202" s="92"/>
      <c r="BM202" s="92"/>
      <c r="BN202" s="92"/>
      <c r="BO202" s="92"/>
      <c r="BP202" s="92"/>
      <c r="BQ202" s="92"/>
      <c r="BS202" s="6"/>
      <c r="BT202" s="11"/>
      <c r="BU202" s="6"/>
      <c r="BV202" s="6"/>
    </row>
    <row r="203" spans="1:74" ht="15.75" x14ac:dyDescent="0.25">
      <c r="A203" s="50" t="s">
        <v>449</v>
      </c>
      <c r="B203" s="52"/>
      <c r="C203" s="7" t="s">
        <v>118</v>
      </c>
      <c r="D203" s="7" t="s">
        <v>769</v>
      </c>
      <c r="E203" s="7"/>
      <c r="F203" s="55"/>
      <c r="G203" s="6"/>
      <c r="H203" s="6"/>
      <c r="I203" s="10" t="s">
        <v>110</v>
      </c>
      <c r="J203" s="11" t="s">
        <v>968</v>
      </c>
      <c r="K203" s="102" t="s">
        <v>512</v>
      </c>
      <c r="L203" s="98"/>
      <c r="M203" s="98">
        <v>1000</v>
      </c>
      <c r="N203" s="60" t="s">
        <v>771</v>
      </c>
      <c r="O203" s="88"/>
      <c r="P203" s="60" t="s">
        <v>969</v>
      </c>
      <c r="Q203" s="60"/>
      <c r="R203" s="60"/>
      <c r="S203" s="89"/>
      <c r="T203" s="106"/>
      <c r="U203" s="88"/>
      <c r="V203" s="91"/>
      <c r="W203" s="12" t="s">
        <v>515</v>
      </c>
      <c r="X203" s="103"/>
      <c r="Y203" s="6" t="s">
        <v>970</v>
      </c>
      <c r="Z203" s="64" t="s">
        <v>517</v>
      </c>
      <c r="AA203" s="12">
        <v>46</v>
      </c>
      <c r="AB203" s="6" t="s">
        <v>148</v>
      </c>
      <c r="AC203" s="64">
        <v>3060</v>
      </c>
      <c r="AJ203" s="60"/>
      <c r="AK203" s="67" t="s">
        <v>518</v>
      </c>
      <c r="AN203" s="60"/>
      <c r="AO203" s="60"/>
      <c r="AP203" s="60"/>
      <c r="AQ203" s="60"/>
      <c r="AR203" s="72"/>
      <c r="AS203" s="60"/>
      <c r="AT203" s="7"/>
      <c r="AU203" s="7"/>
      <c r="AV203" s="92"/>
      <c r="AW203" s="93"/>
      <c r="AX203" s="77"/>
      <c r="AY203" s="80"/>
      <c r="AZ203" s="94"/>
      <c r="BA203" s="94"/>
      <c r="BB203" s="80" t="s">
        <v>519</v>
      </c>
      <c r="BC203" s="95"/>
      <c r="BD203" s="92"/>
      <c r="BE203" s="92"/>
      <c r="BF203" s="92"/>
      <c r="BG203" s="92"/>
      <c r="BH203" s="92"/>
      <c r="BI203" s="92"/>
      <c r="BJ203" s="92"/>
      <c r="BK203" s="92"/>
      <c r="BL203" s="92"/>
      <c r="BM203" s="92"/>
      <c r="BN203" s="92"/>
      <c r="BO203" s="92"/>
      <c r="BP203" s="92"/>
      <c r="BQ203" s="92"/>
      <c r="BS203" s="6"/>
      <c r="BT203" s="11"/>
      <c r="BU203" s="6"/>
      <c r="BV203" s="6"/>
    </row>
    <row r="204" spans="1:74" ht="15.75" x14ac:dyDescent="0.25">
      <c r="A204" s="50" t="s">
        <v>449</v>
      </c>
      <c r="B204" s="52"/>
      <c r="C204" s="7" t="s">
        <v>118</v>
      </c>
      <c r="D204" s="7" t="s">
        <v>769</v>
      </c>
      <c r="E204" s="7"/>
      <c r="F204" s="55"/>
      <c r="G204" s="6"/>
      <c r="H204" s="6"/>
      <c r="I204" s="10" t="s">
        <v>110</v>
      </c>
      <c r="J204" s="11" t="s">
        <v>971</v>
      </c>
      <c r="K204" s="102" t="s">
        <v>512</v>
      </c>
      <c r="L204" s="98"/>
      <c r="M204" s="98">
        <v>1000</v>
      </c>
      <c r="N204" s="60" t="s">
        <v>771</v>
      </c>
      <c r="O204" s="88"/>
      <c r="P204" s="60" t="s">
        <v>972</v>
      </c>
      <c r="Q204" s="60"/>
      <c r="R204" s="60"/>
      <c r="S204" s="89"/>
      <c r="T204" s="106"/>
      <c r="U204" s="88"/>
      <c r="V204" s="91"/>
      <c r="W204" s="12" t="s">
        <v>515</v>
      </c>
      <c r="X204" s="103"/>
      <c r="Y204" s="6" t="s">
        <v>970</v>
      </c>
      <c r="Z204" s="64" t="s">
        <v>522</v>
      </c>
      <c r="AA204" s="12">
        <v>46</v>
      </c>
      <c r="AB204" s="6" t="s">
        <v>148</v>
      </c>
      <c r="AC204" s="64">
        <v>3084</v>
      </c>
      <c r="AJ204" s="60"/>
      <c r="AK204" s="67" t="s">
        <v>450</v>
      </c>
      <c r="AN204" s="60"/>
      <c r="AO204" s="60"/>
      <c r="AP204" s="60"/>
      <c r="AQ204" s="60"/>
      <c r="AR204" s="72"/>
      <c r="AS204" s="60"/>
      <c r="AT204" s="7"/>
      <c r="AU204" s="7"/>
      <c r="AV204" s="92"/>
      <c r="AW204" s="93"/>
      <c r="AX204" s="77"/>
      <c r="AY204" s="80"/>
      <c r="AZ204" s="94"/>
      <c r="BA204" s="94"/>
      <c r="BB204" s="80" t="s">
        <v>519</v>
      </c>
      <c r="BC204" s="95"/>
      <c r="BD204" s="92"/>
      <c r="BE204" s="92"/>
      <c r="BF204" s="92"/>
      <c r="BG204" s="92"/>
      <c r="BH204" s="92"/>
      <c r="BI204" s="92"/>
      <c r="BJ204" s="92"/>
      <c r="BK204" s="92"/>
      <c r="BL204" s="92"/>
      <c r="BM204" s="92"/>
      <c r="BN204" s="92"/>
      <c r="BO204" s="92"/>
      <c r="BP204" s="92"/>
      <c r="BQ204" s="92"/>
      <c r="BS204" s="6"/>
      <c r="BT204" s="11"/>
      <c r="BU204" s="6"/>
      <c r="BV204" s="6"/>
    </row>
    <row r="205" spans="1:74" ht="15.75" x14ac:dyDescent="0.25">
      <c r="A205" s="50" t="s">
        <v>449</v>
      </c>
      <c r="B205" s="52"/>
      <c r="C205" s="7" t="s">
        <v>118</v>
      </c>
      <c r="D205" s="7" t="s">
        <v>769</v>
      </c>
      <c r="E205" s="7"/>
      <c r="F205" s="55"/>
      <c r="G205" s="6"/>
      <c r="H205" s="6"/>
      <c r="I205" s="10" t="s">
        <v>110</v>
      </c>
      <c r="J205" s="11" t="s">
        <v>973</v>
      </c>
      <c r="K205" s="102" t="s">
        <v>512</v>
      </c>
      <c r="L205" s="98"/>
      <c r="M205" s="98">
        <v>1000</v>
      </c>
      <c r="N205" s="60" t="s">
        <v>771</v>
      </c>
      <c r="O205" s="88"/>
      <c r="P205" s="60" t="s">
        <v>974</v>
      </c>
      <c r="Q205" s="60"/>
      <c r="R205" s="60"/>
      <c r="S205" s="89"/>
      <c r="T205" s="106"/>
      <c r="U205" s="88"/>
      <c r="V205" s="91"/>
      <c r="W205" s="12" t="s">
        <v>515</v>
      </c>
      <c r="X205" s="103"/>
      <c r="Y205" s="6" t="s">
        <v>975</v>
      </c>
      <c r="Z205" s="64" t="s">
        <v>517</v>
      </c>
      <c r="AA205" s="12">
        <v>47</v>
      </c>
      <c r="AB205" s="6" t="s">
        <v>148</v>
      </c>
      <c r="AC205" s="64">
        <v>3060</v>
      </c>
      <c r="AJ205" s="60"/>
      <c r="AK205" s="67" t="s">
        <v>518</v>
      </c>
      <c r="AN205" s="60"/>
      <c r="AO205" s="60"/>
      <c r="AP205" s="60"/>
      <c r="AQ205" s="60"/>
      <c r="AR205" s="72"/>
      <c r="AS205" s="60"/>
      <c r="AT205" s="7"/>
      <c r="AU205" s="7"/>
      <c r="AV205" s="92"/>
      <c r="AW205" s="93"/>
      <c r="AX205" s="77"/>
      <c r="AY205" s="80"/>
      <c r="AZ205" s="94"/>
      <c r="BA205" s="94"/>
      <c r="BB205" s="80" t="s">
        <v>519</v>
      </c>
      <c r="BC205" s="95"/>
      <c r="BD205" s="92"/>
      <c r="BE205" s="92"/>
      <c r="BF205" s="92"/>
      <c r="BG205" s="92"/>
      <c r="BH205" s="92"/>
      <c r="BI205" s="92"/>
      <c r="BJ205" s="92"/>
      <c r="BK205" s="92"/>
      <c r="BL205" s="92"/>
      <c r="BM205" s="92"/>
      <c r="BN205" s="92"/>
      <c r="BO205" s="92"/>
      <c r="BP205" s="92"/>
      <c r="BQ205" s="92"/>
      <c r="BS205" s="6"/>
      <c r="BT205" s="11"/>
      <c r="BU205" s="6"/>
      <c r="BV205" s="6"/>
    </row>
    <row r="206" spans="1:74" ht="15.75" x14ac:dyDescent="0.25">
      <c r="A206" s="50" t="s">
        <v>449</v>
      </c>
      <c r="B206" s="52"/>
      <c r="C206" s="7" t="s">
        <v>118</v>
      </c>
      <c r="D206" s="7" t="s">
        <v>769</v>
      </c>
      <c r="E206" s="7"/>
      <c r="F206" s="55"/>
      <c r="G206" s="6"/>
      <c r="H206" s="6"/>
      <c r="I206" s="10" t="s">
        <v>110</v>
      </c>
      <c r="J206" s="11" t="s">
        <v>976</v>
      </c>
      <c r="K206" s="102" t="s">
        <v>512</v>
      </c>
      <c r="L206" s="98"/>
      <c r="M206" s="98">
        <v>1000</v>
      </c>
      <c r="N206" s="60" t="s">
        <v>771</v>
      </c>
      <c r="O206" s="88"/>
      <c r="P206" s="60" t="s">
        <v>977</v>
      </c>
      <c r="Q206" s="60"/>
      <c r="R206" s="60"/>
      <c r="S206" s="89"/>
      <c r="T206" s="106"/>
      <c r="U206" s="88"/>
      <c r="V206" s="91"/>
      <c r="W206" s="12" t="s">
        <v>515</v>
      </c>
      <c r="X206" s="103"/>
      <c r="Y206" s="6" t="s">
        <v>975</v>
      </c>
      <c r="Z206" s="64" t="s">
        <v>522</v>
      </c>
      <c r="AA206" s="12">
        <v>47</v>
      </c>
      <c r="AB206" s="6" t="s">
        <v>148</v>
      </c>
      <c r="AC206" s="64">
        <v>3084</v>
      </c>
      <c r="AJ206" s="60"/>
      <c r="AK206" s="67" t="s">
        <v>450</v>
      </c>
      <c r="AN206" s="60"/>
      <c r="AO206" s="60"/>
      <c r="AP206" s="60"/>
      <c r="AQ206" s="60"/>
      <c r="AR206" s="72"/>
      <c r="AS206" s="60"/>
      <c r="AT206" s="7"/>
      <c r="AU206" s="7"/>
      <c r="AV206" s="92"/>
      <c r="AW206" s="93"/>
      <c r="AX206" s="77"/>
      <c r="AY206" s="80"/>
      <c r="AZ206" s="94"/>
      <c r="BA206" s="94"/>
      <c r="BB206" s="80" t="s">
        <v>519</v>
      </c>
      <c r="BC206" s="95"/>
      <c r="BD206" s="92"/>
      <c r="BE206" s="92"/>
      <c r="BF206" s="92"/>
      <c r="BG206" s="92"/>
      <c r="BH206" s="92"/>
      <c r="BI206" s="92"/>
      <c r="BJ206" s="92"/>
      <c r="BK206" s="92"/>
      <c r="BL206" s="92"/>
      <c r="BM206" s="92"/>
      <c r="BN206" s="92"/>
      <c r="BO206" s="92"/>
      <c r="BP206" s="92"/>
      <c r="BQ206" s="92"/>
      <c r="BS206" s="6"/>
      <c r="BT206" s="11"/>
      <c r="BU206" s="6"/>
      <c r="BV206" s="6"/>
    </row>
    <row r="207" spans="1:74" ht="15.75" x14ac:dyDescent="0.25">
      <c r="A207" s="50" t="s">
        <v>449</v>
      </c>
      <c r="B207" s="52"/>
      <c r="C207" s="7" t="s">
        <v>118</v>
      </c>
      <c r="D207" s="7" t="s">
        <v>978</v>
      </c>
      <c r="E207" s="7"/>
      <c r="F207" s="55"/>
      <c r="G207" s="6"/>
      <c r="H207" s="6"/>
      <c r="I207" s="10" t="s">
        <v>110</v>
      </c>
      <c r="J207" s="11" t="s">
        <v>986</v>
      </c>
      <c r="K207" s="102" t="s">
        <v>512</v>
      </c>
      <c r="L207" s="98"/>
      <c r="M207" s="98">
        <v>1000</v>
      </c>
      <c r="N207" s="60" t="s">
        <v>980</v>
      </c>
      <c r="O207" s="88"/>
      <c r="P207" s="60" t="s">
        <v>987</v>
      </c>
      <c r="Q207" s="60"/>
      <c r="R207" s="60"/>
      <c r="S207" s="89"/>
      <c r="T207" s="106"/>
      <c r="U207" s="88"/>
      <c r="V207" s="91"/>
      <c r="W207" s="12" t="s">
        <v>515</v>
      </c>
      <c r="X207" s="103"/>
      <c r="Y207" s="6" t="s">
        <v>988</v>
      </c>
      <c r="Z207" s="64" t="s">
        <v>517</v>
      </c>
      <c r="AA207" s="12">
        <v>4</v>
      </c>
      <c r="AB207" s="6" t="s">
        <v>148</v>
      </c>
      <c r="AC207" s="64">
        <v>3060</v>
      </c>
      <c r="AJ207" s="60"/>
      <c r="AK207" s="67" t="s">
        <v>518</v>
      </c>
      <c r="AN207" s="60"/>
      <c r="AO207" s="60"/>
      <c r="AP207" s="60"/>
      <c r="AQ207" s="60"/>
      <c r="AR207" s="72"/>
      <c r="AS207" s="60"/>
      <c r="AT207" s="7"/>
      <c r="AU207" s="7"/>
      <c r="AV207" s="92"/>
      <c r="AW207" s="93"/>
      <c r="AX207" s="77"/>
      <c r="AY207" s="80"/>
      <c r="AZ207" s="94"/>
      <c r="BA207" s="94"/>
      <c r="BB207" s="80" t="s">
        <v>519</v>
      </c>
      <c r="BC207" s="95"/>
      <c r="BD207" s="92"/>
      <c r="BE207" s="92"/>
      <c r="BF207" s="92"/>
      <c r="BG207" s="92"/>
      <c r="BH207" s="92"/>
      <c r="BI207" s="92"/>
      <c r="BJ207" s="92"/>
      <c r="BK207" s="92"/>
      <c r="BL207" s="92"/>
      <c r="BM207" s="92"/>
      <c r="BN207" s="92"/>
      <c r="BO207" s="92"/>
      <c r="BP207" s="92"/>
      <c r="BQ207" s="92"/>
      <c r="BS207" s="6"/>
      <c r="BT207" s="11"/>
      <c r="BU207" s="6"/>
      <c r="BV207" s="6"/>
    </row>
    <row r="208" spans="1:74" ht="15.75" x14ac:dyDescent="0.25">
      <c r="A208" s="50" t="s">
        <v>449</v>
      </c>
      <c r="B208" s="52"/>
      <c r="C208" s="7" t="s">
        <v>118</v>
      </c>
      <c r="D208" s="7" t="s">
        <v>978</v>
      </c>
      <c r="E208" s="7"/>
      <c r="F208" s="55"/>
      <c r="G208" s="6"/>
      <c r="H208" s="6"/>
      <c r="I208" s="10" t="s">
        <v>110</v>
      </c>
      <c r="J208" s="11" t="s">
        <v>989</v>
      </c>
      <c r="K208" s="102" t="s">
        <v>512</v>
      </c>
      <c r="L208" s="98"/>
      <c r="M208" s="98">
        <v>1000</v>
      </c>
      <c r="N208" s="60" t="s">
        <v>980</v>
      </c>
      <c r="O208" s="88"/>
      <c r="P208" s="60" t="s">
        <v>990</v>
      </c>
      <c r="Q208" s="60"/>
      <c r="R208" s="60"/>
      <c r="S208" s="89"/>
      <c r="T208" s="106"/>
      <c r="U208" s="88"/>
      <c r="V208" s="91"/>
      <c r="W208" s="12" t="s">
        <v>515</v>
      </c>
      <c r="X208" s="103"/>
      <c r="Y208" s="6" t="s">
        <v>988</v>
      </c>
      <c r="Z208" s="64" t="s">
        <v>522</v>
      </c>
      <c r="AA208" s="12">
        <v>4</v>
      </c>
      <c r="AB208" s="6" t="s">
        <v>148</v>
      </c>
      <c r="AC208" s="64">
        <v>3084</v>
      </c>
      <c r="AJ208" s="60"/>
      <c r="AK208" s="67" t="s">
        <v>450</v>
      </c>
      <c r="AN208" s="60"/>
      <c r="AO208" s="60"/>
      <c r="AP208" s="60"/>
      <c r="AQ208" s="60"/>
      <c r="AR208" s="72"/>
      <c r="AS208" s="60"/>
      <c r="AT208" s="7"/>
      <c r="AU208" s="7"/>
      <c r="AV208" s="92"/>
      <c r="AW208" s="93"/>
      <c r="AX208" s="77"/>
      <c r="AY208" s="80"/>
      <c r="AZ208" s="94"/>
      <c r="BA208" s="94"/>
      <c r="BB208" s="80" t="s">
        <v>519</v>
      </c>
      <c r="BC208" s="95"/>
      <c r="BD208" s="92"/>
      <c r="BE208" s="92"/>
      <c r="BF208" s="92"/>
      <c r="BG208" s="92"/>
      <c r="BH208" s="92"/>
      <c r="BI208" s="92"/>
      <c r="BJ208" s="92"/>
      <c r="BK208" s="92"/>
      <c r="BL208" s="92"/>
      <c r="BM208" s="92"/>
      <c r="BN208" s="92"/>
      <c r="BO208" s="92"/>
      <c r="BP208" s="92"/>
      <c r="BQ208" s="92"/>
      <c r="BS208" s="6"/>
      <c r="BT208" s="11"/>
      <c r="BU208" s="6"/>
      <c r="BV208" s="6"/>
    </row>
    <row r="209" spans="1:74" ht="15.75" x14ac:dyDescent="0.25">
      <c r="A209" s="50" t="s">
        <v>449</v>
      </c>
      <c r="B209" s="52"/>
      <c r="C209" s="7" t="s">
        <v>118</v>
      </c>
      <c r="D209" s="7" t="s">
        <v>978</v>
      </c>
      <c r="E209" s="7"/>
      <c r="F209" s="55"/>
      <c r="G209" s="6"/>
      <c r="H209" s="6"/>
      <c r="I209" s="10" t="s">
        <v>110</v>
      </c>
      <c r="J209" s="11" t="s">
        <v>991</v>
      </c>
      <c r="K209" s="102" t="s">
        <v>512</v>
      </c>
      <c r="L209" s="98"/>
      <c r="M209" s="98">
        <v>1000</v>
      </c>
      <c r="N209" s="60" t="s">
        <v>980</v>
      </c>
      <c r="O209" s="88"/>
      <c r="P209" s="60" t="s">
        <v>992</v>
      </c>
      <c r="Q209" s="60"/>
      <c r="R209" s="60"/>
      <c r="S209" s="89"/>
      <c r="T209" s="106"/>
      <c r="U209" s="88"/>
      <c r="V209" s="91"/>
      <c r="W209" s="12" t="s">
        <v>515</v>
      </c>
      <c r="X209" s="103"/>
      <c r="Y209" s="6" t="s">
        <v>993</v>
      </c>
      <c r="Z209" s="64" t="s">
        <v>517</v>
      </c>
      <c r="AA209" s="12">
        <v>5</v>
      </c>
      <c r="AB209" s="6" t="s">
        <v>148</v>
      </c>
      <c r="AC209" s="64">
        <v>3060</v>
      </c>
      <c r="AJ209" s="60"/>
      <c r="AK209" s="67" t="s">
        <v>518</v>
      </c>
      <c r="AN209" s="60"/>
      <c r="AO209" s="60"/>
      <c r="AP209" s="60"/>
      <c r="AQ209" s="60"/>
      <c r="AR209" s="72"/>
      <c r="AS209" s="60"/>
      <c r="AT209" s="7"/>
      <c r="AU209" s="7"/>
      <c r="AV209" s="92"/>
      <c r="AW209" s="93"/>
      <c r="AX209" s="77"/>
      <c r="AY209" s="80"/>
      <c r="AZ209" s="94"/>
      <c r="BA209" s="94"/>
      <c r="BB209" s="80" t="s">
        <v>519</v>
      </c>
      <c r="BC209" s="95"/>
      <c r="BD209" s="92"/>
      <c r="BE209" s="92"/>
      <c r="BF209" s="92"/>
      <c r="BG209" s="92"/>
      <c r="BH209" s="92"/>
      <c r="BI209" s="92"/>
      <c r="BJ209" s="92"/>
      <c r="BK209" s="92"/>
      <c r="BL209" s="92"/>
      <c r="BM209" s="92"/>
      <c r="BN209" s="92"/>
      <c r="BO209" s="92"/>
      <c r="BP209" s="92"/>
      <c r="BQ209" s="92"/>
      <c r="BS209" s="6"/>
      <c r="BT209" s="11"/>
      <c r="BU209" s="6"/>
      <c r="BV209" s="6"/>
    </row>
    <row r="210" spans="1:74" ht="15.75" x14ac:dyDescent="0.25">
      <c r="A210" s="50" t="s">
        <v>449</v>
      </c>
      <c r="B210" s="52"/>
      <c r="C210" s="7" t="s">
        <v>118</v>
      </c>
      <c r="D210" s="7" t="s">
        <v>978</v>
      </c>
      <c r="E210" s="7"/>
      <c r="F210" s="55"/>
      <c r="G210" s="6"/>
      <c r="H210" s="6"/>
      <c r="I210" s="10" t="s">
        <v>110</v>
      </c>
      <c r="J210" s="11" t="s">
        <v>994</v>
      </c>
      <c r="K210" s="102" t="s">
        <v>512</v>
      </c>
      <c r="L210" s="98"/>
      <c r="M210" s="98">
        <v>1000</v>
      </c>
      <c r="N210" s="60" t="s">
        <v>980</v>
      </c>
      <c r="O210" s="88"/>
      <c r="P210" s="60" t="s">
        <v>995</v>
      </c>
      <c r="Q210" s="60"/>
      <c r="R210" s="60"/>
      <c r="S210" s="89"/>
      <c r="T210" s="106"/>
      <c r="U210" s="88"/>
      <c r="V210" s="91"/>
      <c r="W210" s="12" t="s">
        <v>515</v>
      </c>
      <c r="X210" s="103"/>
      <c r="Y210" s="6" t="s">
        <v>993</v>
      </c>
      <c r="Z210" s="64" t="s">
        <v>522</v>
      </c>
      <c r="AA210" s="12">
        <v>5</v>
      </c>
      <c r="AB210" s="6" t="s">
        <v>148</v>
      </c>
      <c r="AC210" s="64">
        <v>3084</v>
      </c>
      <c r="AJ210" s="60"/>
      <c r="AK210" s="67" t="s">
        <v>450</v>
      </c>
      <c r="AN210" s="60"/>
      <c r="AO210" s="60"/>
      <c r="AP210" s="60"/>
      <c r="AQ210" s="60"/>
      <c r="AR210" s="72"/>
      <c r="AS210" s="60"/>
      <c r="AT210" s="7"/>
      <c r="AU210" s="7"/>
      <c r="AV210" s="92"/>
      <c r="AW210" s="93"/>
      <c r="AX210" s="77"/>
      <c r="AY210" s="80"/>
      <c r="AZ210" s="94"/>
      <c r="BA210" s="94"/>
      <c r="BB210" s="80" t="s">
        <v>519</v>
      </c>
      <c r="BC210" s="95"/>
      <c r="BD210" s="92"/>
      <c r="BE210" s="92"/>
      <c r="BF210" s="92"/>
      <c r="BG210" s="92"/>
      <c r="BH210" s="92"/>
      <c r="BI210" s="92"/>
      <c r="BJ210" s="92"/>
      <c r="BK210" s="92"/>
      <c r="BL210" s="92"/>
      <c r="BM210" s="92"/>
      <c r="BN210" s="92"/>
      <c r="BO210" s="92"/>
      <c r="BP210" s="92"/>
      <c r="BQ210" s="92"/>
      <c r="BS210" s="6"/>
      <c r="BT210" s="11"/>
      <c r="BU210" s="6"/>
      <c r="BV210" s="6"/>
    </row>
    <row r="211" spans="1:74" ht="15.75" x14ac:dyDescent="0.25">
      <c r="A211" s="50" t="s">
        <v>449</v>
      </c>
      <c r="B211" s="52"/>
      <c r="C211" s="7" t="s">
        <v>118</v>
      </c>
      <c r="D211" s="7" t="s">
        <v>978</v>
      </c>
      <c r="E211" s="7"/>
      <c r="F211" s="55"/>
      <c r="G211" s="6"/>
      <c r="H211" s="6"/>
      <c r="I211" s="10" t="s">
        <v>110</v>
      </c>
      <c r="J211" s="11" t="s">
        <v>996</v>
      </c>
      <c r="K211" s="102" t="s">
        <v>512</v>
      </c>
      <c r="L211" s="98"/>
      <c r="M211" s="98">
        <v>1000</v>
      </c>
      <c r="N211" s="60" t="s">
        <v>980</v>
      </c>
      <c r="O211" s="88"/>
      <c r="P211" s="60" t="s">
        <v>997</v>
      </c>
      <c r="Q211" s="60"/>
      <c r="R211" s="60"/>
      <c r="S211" s="89"/>
      <c r="T211" s="106"/>
      <c r="U211" s="88"/>
      <c r="V211" s="91"/>
      <c r="W211" s="12" t="s">
        <v>515</v>
      </c>
      <c r="X211" s="103"/>
      <c r="Y211" s="6" t="s">
        <v>998</v>
      </c>
      <c r="Z211" s="64" t="s">
        <v>517</v>
      </c>
      <c r="AA211" s="12">
        <v>6</v>
      </c>
      <c r="AB211" s="6" t="s">
        <v>148</v>
      </c>
      <c r="AC211" s="64">
        <v>3060</v>
      </c>
      <c r="AJ211" s="60"/>
      <c r="AK211" s="67" t="s">
        <v>518</v>
      </c>
      <c r="AN211" s="60"/>
      <c r="AO211" s="60"/>
      <c r="AP211" s="60"/>
      <c r="AQ211" s="60"/>
      <c r="AR211" s="72"/>
      <c r="AS211" s="60"/>
      <c r="AT211" s="7"/>
      <c r="AU211" s="7"/>
      <c r="AV211" s="92"/>
      <c r="AW211" s="93"/>
      <c r="AX211" s="77"/>
      <c r="AY211" s="80"/>
      <c r="AZ211" s="94"/>
      <c r="BA211" s="94"/>
      <c r="BB211" s="80" t="s">
        <v>519</v>
      </c>
      <c r="BC211" s="95"/>
      <c r="BD211" s="92"/>
      <c r="BE211" s="92"/>
      <c r="BF211" s="92"/>
      <c r="BG211" s="92"/>
      <c r="BH211" s="92"/>
      <c r="BI211" s="92"/>
      <c r="BJ211" s="92"/>
      <c r="BK211" s="92"/>
      <c r="BL211" s="92"/>
      <c r="BM211" s="92"/>
      <c r="BN211" s="92"/>
      <c r="BO211" s="92"/>
      <c r="BP211" s="92"/>
      <c r="BQ211" s="92"/>
      <c r="BS211" s="6"/>
      <c r="BT211" s="11"/>
      <c r="BU211" s="6"/>
      <c r="BV211" s="6"/>
    </row>
    <row r="212" spans="1:74" ht="15.75" x14ac:dyDescent="0.25">
      <c r="A212" s="50" t="s">
        <v>449</v>
      </c>
      <c r="B212" s="52"/>
      <c r="C212" s="7" t="s">
        <v>118</v>
      </c>
      <c r="D212" s="7" t="s">
        <v>978</v>
      </c>
      <c r="E212" s="7"/>
      <c r="F212" s="55"/>
      <c r="G212" s="6"/>
      <c r="H212" s="6"/>
      <c r="I212" s="10" t="s">
        <v>110</v>
      </c>
      <c r="J212" s="11" t="s">
        <v>999</v>
      </c>
      <c r="K212" s="102" t="s">
        <v>512</v>
      </c>
      <c r="L212" s="98"/>
      <c r="M212" s="98">
        <v>1000</v>
      </c>
      <c r="N212" s="60" t="s">
        <v>980</v>
      </c>
      <c r="O212" s="88"/>
      <c r="P212" s="60" t="s">
        <v>1000</v>
      </c>
      <c r="Q212" s="60"/>
      <c r="R212" s="60"/>
      <c r="S212" s="89"/>
      <c r="T212" s="106"/>
      <c r="U212" s="88"/>
      <c r="V212" s="91"/>
      <c r="W212" s="12" t="s">
        <v>515</v>
      </c>
      <c r="X212" s="103"/>
      <c r="Y212" s="6" t="s">
        <v>998</v>
      </c>
      <c r="Z212" s="64" t="s">
        <v>522</v>
      </c>
      <c r="AA212" s="12">
        <v>6</v>
      </c>
      <c r="AB212" s="6" t="s">
        <v>148</v>
      </c>
      <c r="AC212" s="64">
        <v>3084</v>
      </c>
      <c r="AJ212" s="60"/>
      <c r="AK212" s="67" t="s">
        <v>450</v>
      </c>
      <c r="AN212" s="60"/>
      <c r="AO212" s="60"/>
      <c r="AP212" s="60"/>
      <c r="AQ212" s="60"/>
      <c r="AR212" s="72"/>
      <c r="AS212" s="60"/>
      <c r="AT212" s="7"/>
      <c r="AU212" s="7"/>
      <c r="AV212" s="92"/>
      <c r="AW212" s="93"/>
      <c r="AX212" s="77"/>
      <c r="AY212" s="80"/>
      <c r="AZ212" s="94"/>
      <c r="BA212" s="94"/>
      <c r="BB212" s="80" t="s">
        <v>519</v>
      </c>
      <c r="BC212" s="95"/>
      <c r="BD212" s="92"/>
      <c r="BE212" s="92"/>
      <c r="BF212" s="92"/>
      <c r="BG212" s="92"/>
      <c r="BH212" s="92"/>
      <c r="BI212" s="92"/>
      <c r="BJ212" s="92"/>
      <c r="BK212" s="92"/>
      <c r="BL212" s="92"/>
      <c r="BM212" s="92"/>
      <c r="BN212" s="92"/>
      <c r="BO212" s="92"/>
      <c r="BP212" s="92"/>
      <c r="BQ212" s="92"/>
      <c r="BS212" s="6"/>
      <c r="BT212" s="11"/>
      <c r="BU212" s="6"/>
      <c r="BV212" s="6"/>
    </row>
    <row r="213" spans="1:74" ht="15.75" x14ac:dyDescent="0.25">
      <c r="A213" s="50" t="s">
        <v>449</v>
      </c>
      <c r="B213" s="52"/>
      <c r="C213" s="7" t="s">
        <v>118</v>
      </c>
      <c r="D213" s="7" t="s">
        <v>978</v>
      </c>
      <c r="E213" s="7"/>
      <c r="F213" s="55"/>
      <c r="G213" s="6"/>
      <c r="H213" s="6"/>
      <c r="I213" s="10" t="s">
        <v>110</v>
      </c>
      <c r="J213" s="11" t="s">
        <v>1001</v>
      </c>
      <c r="K213" s="102" t="s">
        <v>512</v>
      </c>
      <c r="L213" s="98"/>
      <c r="M213" s="98">
        <v>1000</v>
      </c>
      <c r="N213" s="60" t="s">
        <v>980</v>
      </c>
      <c r="O213" s="88"/>
      <c r="P213" s="60" t="s">
        <v>1002</v>
      </c>
      <c r="Q213" s="60"/>
      <c r="R213" s="60"/>
      <c r="S213" s="89"/>
      <c r="T213" s="106"/>
      <c r="U213" s="88"/>
      <c r="V213" s="91"/>
      <c r="W213" s="12" t="s">
        <v>515</v>
      </c>
      <c r="X213" s="103"/>
      <c r="Y213" s="6" t="s">
        <v>1003</v>
      </c>
      <c r="Z213" s="64" t="s">
        <v>517</v>
      </c>
      <c r="AA213" s="12">
        <v>7</v>
      </c>
      <c r="AB213" s="6" t="s">
        <v>148</v>
      </c>
      <c r="AC213" s="64">
        <v>3060</v>
      </c>
      <c r="AJ213" s="60"/>
      <c r="AK213" s="67" t="s">
        <v>518</v>
      </c>
      <c r="AN213" s="60"/>
      <c r="AO213" s="60"/>
      <c r="AP213" s="60"/>
      <c r="AQ213" s="60"/>
      <c r="AR213" s="72"/>
      <c r="AS213" s="60"/>
      <c r="AT213" s="7"/>
      <c r="AU213" s="7"/>
      <c r="AV213" s="92"/>
      <c r="AW213" s="93"/>
      <c r="AX213" s="77"/>
      <c r="AY213" s="80"/>
      <c r="AZ213" s="94"/>
      <c r="BA213" s="94"/>
      <c r="BB213" s="80" t="s">
        <v>519</v>
      </c>
      <c r="BC213" s="95"/>
      <c r="BD213" s="92"/>
      <c r="BE213" s="92"/>
      <c r="BF213" s="92"/>
      <c r="BG213" s="92"/>
      <c r="BH213" s="92"/>
      <c r="BI213" s="92"/>
      <c r="BJ213" s="92"/>
      <c r="BK213" s="92"/>
      <c r="BL213" s="92"/>
      <c r="BM213" s="92"/>
      <c r="BN213" s="92"/>
      <c r="BO213" s="92"/>
      <c r="BP213" s="92"/>
      <c r="BQ213" s="92"/>
      <c r="BS213" s="6"/>
      <c r="BT213" s="11"/>
      <c r="BU213" s="6"/>
      <c r="BV213" s="6"/>
    </row>
    <row r="214" spans="1:74" ht="15.75" x14ac:dyDescent="0.25">
      <c r="A214" s="50" t="s">
        <v>449</v>
      </c>
      <c r="B214" s="52"/>
      <c r="C214" s="7" t="s">
        <v>118</v>
      </c>
      <c r="D214" s="7" t="s">
        <v>978</v>
      </c>
      <c r="E214" s="7"/>
      <c r="F214" s="55"/>
      <c r="G214" s="6"/>
      <c r="H214" s="6"/>
      <c r="I214" s="10" t="s">
        <v>110</v>
      </c>
      <c r="J214" s="11" t="s">
        <v>1004</v>
      </c>
      <c r="K214" s="102" t="s">
        <v>512</v>
      </c>
      <c r="L214" s="98"/>
      <c r="M214" s="98">
        <v>1000</v>
      </c>
      <c r="N214" s="60" t="s">
        <v>980</v>
      </c>
      <c r="O214" s="88"/>
      <c r="P214" s="60" t="s">
        <v>1005</v>
      </c>
      <c r="Q214" s="60"/>
      <c r="R214" s="60"/>
      <c r="S214" s="89"/>
      <c r="T214" s="106"/>
      <c r="U214" s="88"/>
      <c r="V214" s="91"/>
      <c r="W214" s="12" t="s">
        <v>515</v>
      </c>
      <c r="X214" s="103"/>
      <c r="Y214" s="6" t="s">
        <v>1003</v>
      </c>
      <c r="Z214" s="64" t="s">
        <v>522</v>
      </c>
      <c r="AA214" s="12">
        <v>7</v>
      </c>
      <c r="AB214" s="6" t="s">
        <v>148</v>
      </c>
      <c r="AC214" s="64">
        <v>3084</v>
      </c>
      <c r="AJ214" s="60"/>
      <c r="AK214" s="67" t="s">
        <v>450</v>
      </c>
      <c r="AN214" s="60"/>
      <c r="AO214" s="60"/>
      <c r="AP214" s="60"/>
      <c r="AQ214" s="60"/>
      <c r="AR214" s="72"/>
      <c r="AS214" s="60"/>
      <c r="AT214" s="7"/>
      <c r="AU214" s="7"/>
      <c r="AV214" s="92"/>
      <c r="AW214" s="93"/>
      <c r="AX214" s="77"/>
      <c r="AY214" s="80"/>
      <c r="AZ214" s="94"/>
      <c r="BA214" s="94"/>
      <c r="BB214" s="80" t="s">
        <v>519</v>
      </c>
      <c r="BC214" s="95"/>
      <c r="BD214" s="92"/>
      <c r="BE214" s="92"/>
      <c r="BF214" s="92"/>
      <c r="BG214" s="92"/>
      <c r="BH214" s="92"/>
      <c r="BI214" s="92"/>
      <c r="BJ214" s="92"/>
      <c r="BK214" s="92"/>
      <c r="BL214" s="92"/>
      <c r="BM214" s="92"/>
      <c r="BN214" s="92"/>
      <c r="BO214" s="92"/>
      <c r="BP214" s="92"/>
      <c r="BQ214" s="92"/>
      <c r="BS214" s="6"/>
      <c r="BT214" s="11"/>
      <c r="BU214" s="6"/>
      <c r="BV214" s="6"/>
    </row>
    <row r="215" spans="1:74" ht="15.75" x14ac:dyDescent="0.25">
      <c r="A215" s="50" t="s">
        <v>449</v>
      </c>
      <c r="B215" s="52"/>
      <c r="C215" s="7" t="s">
        <v>118</v>
      </c>
      <c r="D215" s="7" t="s">
        <v>978</v>
      </c>
      <c r="E215" s="7"/>
      <c r="F215" s="55"/>
      <c r="G215" s="6"/>
      <c r="H215" s="6"/>
      <c r="I215" s="10" t="s">
        <v>110</v>
      </c>
      <c r="J215" s="11" t="s">
        <v>1006</v>
      </c>
      <c r="K215" s="102" t="s">
        <v>512</v>
      </c>
      <c r="L215" s="98"/>
      <c r="M215" s="98">
        <v>1000</v>
      </c>
      <c r="N215" s="60" t="s">
        <v>980</v>
      </c>
      <c r="O215" s="88"/>
      <c r="P215" s="60" t="s">
        <v>1007</v>
      </c>
      <c r="Q215" s="60"/>
      <c r="R215" s="60"/>
      <c r="S215" s="89"/>
      <c r="T215" s="106"/>
      <c r="U215" s="88"/>
      <c r="V215" s="91"/>
      <c r="W215" s="12" t="s">
        <v>515</v>
      </c>
      <c r="X215" s="103"/>
      <c r="Y215" s="6" t="s">
        <v>1008</v>
      </c>
      <c r="Z215" s="64" t="s">
        <v>517</v>
      </c>
      <c r="AA215" s="12">
        <v>8</v>
      </c>
      <c r="AB215" s="6" t="s">
        <v>148</v>
      </c>
      <c r="AC215" s="64">
        <v>3060</v>
      </c>
      <c r="AJ215" s="60"/>
      <c r="AK215" s="67" t="s">
        <v>518</v>
      </c>
      <c r="AN215" s="60"/>
      <c r="AO215" s="60"/>
      <c r="AP215" s="60"/>
      <c r="AQ215" s="60"/>
      <c r="AR215" s="72"/>
      <c r="AS215" s="60"/>
      <c r="AT215" s="7"/>
      <c r="AU215" s="7"/>
      <c r="AV215" s="92"/>
      <c r="AW215" s="93"/>
      <c r="AX215" s="77"/>
      <c r="AY215" s="80"/>
      <c r="AZ215" s="94"/>
      <c r="BA215" s="94"/>
      <c r="BB215" s="80" t="s">
        <v>519</v>
      </c>
      <c r="BC215" s="95"/>
      <c r="BD215" s="92"/>
      <c r="BE215" s="92"/>
      <c r="BF215" s="92"/>
      <c r="BG215" s="92"/>
      <c r="BH215" s="92"/>
      <c r="BI215" s="92"/>
      <c r="BJ215" s="92"/>
      <c r="BK215" s="92"/>
      <c r="BL215" s="92"/>
      <c r="BM215" s="92"/>
      <c r="BN215" s="92"/>
      <c r="BO215" s="92"/>
      <c r="BP215" s="92"/>
      <c r="BQ215" s="92"/>
      <c r="BS215" s="6"/>
      <c r="BT215" s="11"/>
      <c r="BU215" s="6"/>
      <c r="BV215" s="6"/>
    </row>
    <row r="216" spans="1:74" ht="15.75" x14ac:dyDescent="0.25">
      <c r="A216" s="50" t="s">
        <v>449</v>
      </c>
      <c r="B216" s="52"/>
      <c r="C216" s="7" t="s">
        <v>118</v>
      </c>
      <c r="D216" s="7" t="s">
        <v>978</v>
      </c>
      <c r="E216" s="7"/>
      <c r="F216" s="55"/>
      <c r="G216" s="6"/>
      <c r="H216" s="6"/>
      <c r="I216" s="10" t="s">
        <v>110</v>
      </c>
      <c r="J216" s="11" t="s">
        <v>1009</v>
      </c>
      <c r="K216" s="102" t="s">
        <v>512</v>
      </c>
      <c r="L216" s="98"/>
      <c r="M216" s="98">
        <v>1000</v>
      </c>
      <c r="N216" s="60" t="s">
        <v>980</v>
      </c>
      <c r="O216" s="88"/>
      <c r="P216" s="60" t="s">
        <v>1010</v>
      </c>
      <c r="Q216" s="60"/>
      <c r="R216" s="60"/>
      <c r="S216" s="89"/>
      <c r="T216" s="106"/>
      <c r="U216" s="88"/>
      <c r="V216" s="91"/>
      <c r="W216" s="12" t="s">
        <v>515</v>
      </c>
      <c r="X216" s="103"/>
      <c r="Y216" s="6" t="s">
        <v>1008</v>
      </c>
      <c r="Z216" s="64" t="s">
        <v>522</v>
      </c>
      <c r="AA216" s="12">
        <v>8</v>
      </c>
      <c r="AB216" s="6" t="s">
        <v>148</v>
      </c>
      <c r="AC216" s="64">
        <v>3084</v>
      </c>
      <c r="AJ216" s="60"/>
      <c r="AK216" s="67" t="s">
        <v>450</v>
      </c>
      <c r="AN216" s="60"/>
      <c r="AO216" s="60"/>
      <c r="AP216" s="60"/>
      <c r="AQ216" s="60"/>
      <c r="AR216" s="72"/>
      <c r="AS216" s="60"/>
      <c r="AT216" s="7"/>
      <c r="AU216" s="7"/>
      <c r="AV216" s="92"/>
      <c r="AW216" s="93"/>
      <c r="AX216" s="77"/>
      <c r="AY216" s="80"/>
      <c r="AZ216" s="94"/>
      <c r="BA216" s="94"/>
      <c r="BB216" s="80" t="s">
        <v>519</v>
      </c>
      <c r="BC216" s="95"/>
      <c r="BD216" s="92"/>
      <c r="BE216" s="92"/>
      <c r="BF216" s="92"/>
      <c r="BG216" s="92"/>
      <c r="BH216" s="92"/>
      <c r="BI216" s="92"/>
      <c r="BJ216" s="92"/>
      <c r="BK216" s="92"/>
      <c r="BL216" s="92"/>
      <c r="BM216" s="92"/>
      <c r="BN216" s="92"/>
      <c r="BO216" s="92"/>
      <c r="BP216" s="92"/>
      <c r="BQ216" s="92"/>
      <c r="BS216" s="6"/>
      <c r="BT216" s="11"/>
      <c r="BU216" s="6"/>
      <c r="BV216" s="6"/>
    </row>
    <row r="217" spans="1:74" ht="15.75" x14ac:dyDescent="0.25">
      <c r="A217" s="50" t="s">
        <v>449</v>
      </c>
      <c r="B217" s="52"/>
      <c r="C217" s="7" t="s">
        <v>118</v>
      </c>
      <c r="D217" s="7" t="s">
        <v>978</v>
      </c>
      <c r="E217" s="7"/>
      <c r="F217" s="55"/>
      <c r="G217" s="6"/>
      <c r="H217" s="6"/>
      <c r="I217" s="10" t="s">
        <v>110</v>
      </c>
      <c r="J217" s="11" t="s">
        <v>1011</v>
      </c>
      <c r="K217" s="102" t="s">
        <v>512</v>
      </c>
      <c r="L217" s="98"/>
      <c r="M217" s="98">
        <v>1000</v>
      </c>
      <c r="N217" s="60" t="s">
        <v>980</v>
      </c>
      <c r="O217" s="88"/>
      <c r="P217" s="60" t="s">
        <v>1012</v>
      </c>
      <c r="Q217" s="60"/>
      <c r="R217" s="60"/>
      <c r="S217" s="89"/>
      <c r="T217" s="106"/>
      <c r="U217" s="88"/>
      <c r="V217" s="91"/>
      <c r="W217" s="12" t="s">
        <v>515</v>
      </c>
      <c r="X217" s="103"/>
      <c r="Y217" s="6" t="s">
        <v>1013</v>
      </c>
      <c r="Z217" s="64" t="s">
        <v>517</v>
      </c>
      <c r="AA217" s="12">
        <v>9</v>
      </c>
      <c r="AB217" s="6" t="s">
        <v>148</v>
      </c>
      <c r="AC217" s="64">
        <v>3060</v>
      </c>
      <c r="AJ217" s="60"/>
      <c r="AK217" s="67" t="s">
        <v>518</v>
      </c>
      <c r="AN217" s="60"/>
      <c r="AO217" s="60"/>
      <c r="AP217" s="60"/>
      <c r="AQ217" s="60"/>
      <c r="AR217" s="72"/>
      <c r="AS217" s="60"/>
      <c r="AT217" s="7"/>
      <c r="AU217" s="7"/>
      <c r="AV217" s="92"/>
      <c r="AW217" s="93"/>
      <c r="AX217" s="77"/>
      <c r="AY217" s="80"/>
      <c r="AZ217" s="94"/>
      <c r="BA217" s="94"/>
      <c r="BB217" s="80" t="s">
        <v>519</v>
      </c>
      <c r="BC217" s="95"/>
      <c r="BD217" s="92"/>
      <c r="BE217" s="92"/>
      <c r="BF217" s="92"/>
      <c r="BG217" s="92"/>
      <c r="BH217" s="92"/>
      <c r="BI217" s="92"/>
      <c r="BJ217" s="92"/>
      <c r="BK217" s="92"/>
      <c r="BL217" s="92"/>
      <c r="BM217" s="92"/>
      <c r="BN217" s="92"/>
      <c r="BO217" s="92"/>
      <c r="BP217" s="92"/>
      <c r="BQ217" s="92"/>
      <c r="BS217" s="6"/>
      <c r="BT217" s="11"/>
      <c r="BU217" s="6"/>
      <c r="BV217" s="6"/>
    </row>
    <row r="218" spans="1:74" ht="15.75" x14ac:dyDescent="0.25">
      <c r="A218" s="50" t="s">
        <v>449</v>
      </c>
      <c r="B218" s="52"/>
      <c r="C218" s="7" t="s">
        <v>118</v>
      </c>
      <c r="D218" s="7" t="s">
        <v>978</v>
      </c>
      <c r="E218" s="7"/>
      <c r="F218" s="55"/>
      <c r="G218" s="6"/>
      <c r="H218" s="6"/>
      <c r="I218" s="10" t="s">
        <v>110</v>
      </c>
      <c r="J218" s="11" t="s">
        <v>1014</v>
      </c>
      <c r="K218" s="102" t="s">
        <v>512</v>
      </c>
      <c r="L218" s="98"/>
      <c r="M218" s="98">
        <v>1000</v>
      </c>
      <c r="N218" s="60" t="s">
        <v>980</v>
      </c>
      <c r="O218" s="88"/>
      <c r="P218" s="60" t="s">
        <v>1015</v>
      </c>
      <c r="Q218" s="60"/>
      <c r="R218" s="60"/>
      <c r="S218" s="89"/>
      <c r="T218" s="106"/>
      <c r="U218" s="88"/>
      <c r="V218" s="91"/>
      <c r="W218" s="12" t="s">
        <v>515</v>
      </c>
      <c r="X218" s="103"/>
      <c r="Y218" s="6" t="s">
        <v>1013</v>
      </c>
      <c r="Z218" s="64" t="s">
        <v>522</v>
      </c>
      <c r="AA218" s="12">
        <v>9</v>
      </c>
      <c r="AB218" s="6" t="s">
        <v>148</v>
      </c>
      <c r="AC218" s="64">
        <v>3084</v>
      </c>
      <c r="AJ218" s="60"/>
      <c r="AK218" s="67" t="s">
        <v>450</v>
      </c>
      <c r="AN218" s="60"/>
      <c r="AO218" s="60"/>
      <c r="AP218" s="60"/>
      <c r="AQ218" s="60"/>
      <c r="AR218" s="72"/>
      <c r="AS218" s="60"/>
      <c r="AT218" s="7"/>
      <c r="AU218" s="7"/>
      <c r="AV218" s="92"/>
      <c r="AW218" s="93"/>
      <c r="AX218" s="77"/>
      <c r="AY218" s="80"/>
      <c r="AZ218" s="94"/>
      <c r="BA218" s="94"/>
      <c r="BB218" s="80" t="s">
        <v>519</v>
      </c>
      <c r="BC218" s="95"/>
      <c r="BD218" s="92"/>
      <c r="BE218" s="92"/>
      <c r="BF218" s="92"/>
      <c r="BG218" s="92"/>
      <c r="BH218" s="92"/>
      <c r="BI218" s="92"/>
      <c r="BJ218" s="92"/>
      <c r="BK218" s="92"/>
      <c r="BL218" s="92"/>
      <c r="BM218" s="92"/>
      <c r="BN218" s="92"/>
      <c r="BO218" s="92"/>
      <c r="BP218" s="92"/>
      <c r="BQ218" s="92"/>
      <c r="BS218" s="6"/>
      <c r="BT218" s="11"/>
      <c r="BU218" s="6"/>
      <c r="BV218" s="6"/>
    </row>
    <row r="219" spans="1:74" ht="15.75" x14ac:dyDescent="0.25">
      <c r="A219" s="50" t="s">
        <v>449</v>
      </c>
      <c r="B219" s="52"/>
      <c r="C219" s="7" t="s">
        <v>118</v>
      </c>
      <c r="D219" s="7" t="s">
        <v>978</v>
      </c>
      <c r="E219" s="7"/>
      <c r="F219" s="55"/>
      <c r="G219" s="6"/>
      <c r="H219" s="6"/>
      <c r="I219" s="10" t="s">
        <v>110</v>
      </c>
      <c r="J219" s="11" t="s">
        <v>1016</v>
      </c>
      <c r="K219" s="102" t="s">
        <v>512</v>
      </c>
      <c r="L219" s="98"/>
      <c r="M219" s="98">
        <v>1000</v>
      </c>
      <c r="N219" s="60" t="s">
        <v>980</v>
      </c>
      <c r="O219" s="88"/>
      <c r="P219" s="60" t="s">
        <v>1017</v>
      </c>
      <c r="Q219" s="60"/>
      <c r="R219" s="60"/>
      <c r="S219" s="89"/>
      <c r="T219" s="106"/>
      <c r="U219" s="88"/>
      <c r="V219" s="91"/>
      <c r="W219" s="12" t="s">
        <v>515</v>
      </c>
      <c r="X219" s="103"/>
      <c r="Y219" s="6" t="s">
        <v>1018</v>
      </c>
      <c r="Z219" s="64" t="s">
        <v>517</v>
      </c>
      <c r="AA219" s="12">
        <v>10</v>
      </c>
      <c r="AB219" s="6" t="s">
        <v>148</v>
      </c>
      <c r="AC219" s="64">
        <v>3060</v>
      </c>
      <c r="AJ219" s="60"/>
      <c r="AK219" s="67" t="s">
        <v>518</v>
      </c>
      <c r="AN219" s="60"/>
      <c r="AO219" s="60"/>
      <c r="AP219" s="60"/>
      <c r="AQ219" s="60"/>
      <c r="AR219" s="72"/>
      <c r="AS219" s="60"/>
      <c r="AT219" s="7"/>
      <c r="AU219" s="7"/>
      <c r="AV219" s="92"/>
      <c r="AW219" s="93"/>
      <c r="AX219" s="77"/>
      <c r="AY219" s="80"/>
      <c r="AZ219" s="94"/>
      <c r="BA219" s="94"/>
      <c r="BB219" s="80" t="s">
        <v>519</v>
      </c>
      <c r="BC219" s="95"/>
      <c r="BD219" s="92"/>
      <c r="BE219" s="92"/>
      <c r="BF219" s="92"/>
      <c r="BG219" s="92"/>
      <c r="BH219" s="92"/>
      <c r="BI219" s="92"/>
      <c r="BJ219" s="92"/>
      <c r="BK219" s="92"/>
      <c r="BL219" s="92"/>
      <c r="BM219" s="92"/>
      <c r="BN219" s="92"/>
      <c r="BO219" s="92"/>
      <c r="BP219" s="92"/>
      <c r="BQ219" s="92"/>
      <c r="BS219" s="6"/>
      <c r="BT219" s="11"/>
      <c r="BU219" s="6"/>
      <c r="BV219" s="6"/>
    </row>
    <row r="220" spans="1:74" ht="15.75" x14ac:dyDescent="0.25">
      <c r="A220" s="50" t="s">
        <v>449</v>
      </c>
      <c r="B220" s="52"/>
      <c r="C220" s="7" t="s">
        <v>118</v>
      </c>
      <c r="D220" s="7" t="s">
        <v>978</v>
      </c>
      <c r="E220" s="7"/>
      <c r="F220" s="55"/>
      <c r="G220" s="6"/>
      <c r="H220" s="6"/>
      <c r="I220" s="10" t="s">
        <v>110</v>
      </c>
      <c r="J220" s="11" t="s">
        <v>1019</v>
      </c>
      <c r="K220" s="102" t="s">
        <v>512</v>
      </c>
      <c r="L220" s="98"/>
      <c r="M220" s="98">
        <v>1000</v>
      </c>
      <c r="N220" s="60" t="s">
        <v>980</v>
      </c>
      <c r="O220" s="88"/>
      <c r="P220" s="60" t="s">
        <v>1020</v>
      </c>
      <c r="Q220" s="60"/>
      <c r="R220" s="60"/>
      <c r="S220" s="89"/>
      <c r="T220" s="106"/>
      <c r="U220" s="88"/>
      <c r="V220" s="91"/>
      <c r="W220" s="12" t="s">
        <v>515</v>
      </c>
      <c r="X220" s="103"/>
      <c r="Y220" s="6" t="s">
        <v>1018</v>
      </c>
      <c r="Z220" s="64" t="s">
        <v>522</v>
      </c>
      <c r="AA220" s="12">
        <v>10</v>
      </c>
      <c r="AB220" s="6" t="s">
        <v>148</v>
      </c>
      <c r="AC220" s="64">
        <v>3084</v>
      </c>
      <c r="AJ220" s="60"/>
      <c r="AK220" s="67" t="s">
        <v>450</v>
      </c>
      <c r="AN220" s="60"/>
      <c r="AO220" s="60"/>
      <c r="AP220" s="60"/>
      <c r="AQ220" s="60"/>
      <c r="AR220" s="72"/>
      <c r="AS220" s="60"/>
      <c r="AT220" s="7"/>
      <c r="AU220" s="7"/>
      <c r="AV220" s="92"/>
      <c r="AW220" s="93"/>
      <c r="AX220" s="77"/>
      <c r="AY220" s="80"/>
      <c r="AZ220" s="94"/>
      <c r="BA220" s="94"/>
      <c r="BB220" s="80" t="s">
        <v>519</v>
      </c>
      <c r="BC220" s="95"/>
      <c r="BD220" s="92"/>
      <c r="BE220" s="92"/>
      <c r="BF220" s="92"/>
      <c r="BG220" s="92"/>
      <c r="BH220" s="92"/>
      <c r="BI220" s="92"/>
      <c r="BJ220" s="92"/>
      <c r="BK220" s="92"/>
      <c r="BL220" s="92"/>
      <c r="BM220" s="92"/>
      <c r="BN220" s="92"/>
      <c r="BO220" s="92"/>
      <c r="BP220" s="92"/>
      <c r="BQ220" s="92"/>
      <c r="BS220" s="6"/>
      <c r="BT220" s="11"/>
      <c r="BU220" s="6"/>
      <c r="BV220" s="6"/>
    </row>
    <row r="221" spans="1:74" ht="15.75" x14ac:dyDescent="0.25">
      <c r="A221" s="50" t="s">
        <v>449</v>
      </c>
      <c r="B221" s="52"/>
      <c r="C221" s="7" t="s">
        <v>118</v>
      </c>
      <c r="D221" s="7" t="s">
        <v>978</v>
      </c>
      <c r="E221" s="7"/>
      <c r="F221" s="55"/>
      <c r="G221" s="6"/>
      <c r="H221" s="6"/>
      <c r="I221" s="10" t="s">
        <v>110</v>
      </c>
      <c r="J221" s="11" t="s">
        <v>1021</v>
      </c>
      <c r="K221" s="102" t="s">
        <v>512</v>
      </c>
      <c r="L221" s="98"/>
      <c r="M221" s="98">
        <v>1000</v>
      </c>
      <c r="N221" s="60" t="s">
        <v>980</v>
      </c>
      <c r="O221" s="88"/>
      <c r="P221" s="60" t="s">
        <v>1022</v>
      </c>
      <c r="Q221" s="60"/>
      <c r="R221" s="60"/>
      <c r="S221" s="89"/>
      <c r="T221" s="106"/>
      <c r="U221" s="88"/>
      <c r="V221" s="91"/>
      <c r="W221" s="12" t="s">
        <v>515</v>
      </c>
      <c r="X221" s="103"/>
      <c r="Y221" s="6" t="s">
        <v>1023</v>
      </c>
      <c r="Z221" s="64" t="s">
        <v>517</v>
      </c>
      <c r="AA221" s="12">
        <v>11</v>
      </c>
      <c r="AB221" s="6" t="s">
        <v>148</v>
      </c>
      <c r="AC221" s="64">
        <v>3060</v>
      </c>
      <c r="AJ221" s="60"/>
      <c r="AK221" s="67" t="s">
        <v>518</v>
      </c>
      <c r="AN221" s="60"/>
      <c r="AO221" s="60"/>
      <c r="AP221" s="60"/>
      <c r="AQ221" s="60"/>
      <c r="AR221" s="72"/>
      <c r="AS221" s="60"/>
      <c r="AT221" s="7"/>
      <c r="AU221" s="7"/>
      <c r="AV221" s="92"/>
      <c r="AW221" s="93"/>
      <c r="AX221" s="77"/>
      <c r="AY221" s="80"/>
      <c r="AZ221" s="94"/>
      <c r="BA221" s="94"/>
      <c r="BB221" s="80" t="s">
        <v>519</v>
      </c>
      <c r="BC221" s="95"/>
      <c r="BD221" s="92"/>
      <c r="BE221" s="92"/>
      <c r="BF221" s="92"/>
      <c r="BG221" s="92"/>
      <c r="BH221" s="92"/>
      <c r="BI221" s="92"/>
      <c r="BJ221" s="92"/>
      <c r="BK221" s="92"/>
      <c r="BL221" s="92"/>
      <c r="BM221" s="92"/>
      <c r="BN221" s="92"/>
      <c r="BO221" s="92"/>
      <c r="BP221" s="92"/>
      <c r="BQ221" s="92"/>
      <c r="BS221" s="6"/>
      <c r="BT221" s="11"/>
      <c r="BU221" s="6"/>
      <c r="BV221" s="6"/>
    </row>
    <row r="222" spans="1:74" ht="15.75" x14ac:dyDescent="0.25">
      <c r="A222" s="50" t="s">
        <v>449</v>
      </c>
      <c r="B222" s="52"/>
      <c r="C222" s="7" t="s">
        <v>118</v>
      </c>
      <c r="D222" s="7" t="s">
        <v>978</v>
      </c>
      <c r="E222" s="7"/>
      <c r="F222" s="55"/>
      <c r="G222" s="6"/>
      <c r="H222" s="6"/>
      <c r="I222" s="10" t="s">
        <v>110</v>
      </c>
      <c r="J222" s="11" t="s">
        <v>1024</v>
      </c>
      <c r="K222" s="102" t="s">
        <v>512</v>
      </c>
      <c r="L222" s="98"/>
      <c r="M222" s="98">
        <v>1000</v>
      </c>
      <c r="N222" s="60" t="s">
        <v>980</v>
      </c>
      <c r="O222" s="88"/>
      <c r="P222" s="60" t="s">
        <v>1025</v>
      </c>
      <c r="Q222" s="60"/>
      <c r="R222" s="60"/>
      <c r="S222" s="89"/>
      <c r="T222" s="106"/>
      <c r="U222" s="88"/>
      <c r="V222" s="91"/>
      <c r="W222" s="12" t="s">
        <v>515</v>
      </c>
      <c r="X222" s="103"/>
      <c r="Y222" s="6" t="s">
        <v>1023</v>
      </c>
      <c r="Z222" s="64" t="s">
        <v>522</v>
      </c>
      <c r="AA222" s="12">
        <v>11</v>
      </c>
      <c r="AB222" s="6" t="s">
        <v>148</v>
      </c>
      <c r="AC222" s="64">
        <v>3084</v>
      </c>
      <c r="AJ222" s="60"/>
      <c r="AK222" s="67" t="s">
        <v>450</v>
      </c>
      <c r="AN222" s="60"/>
      <c r="AO222" s="60"/>
      <c r="AP222" s="60"/>
      <c r="AQ222" s="60"/>
      <c r="AR222" s="72"/>
      <c r="AS222" s="60"/>
      <c r="AT222" s="7"/>
      <c r="AU222" s="7"/>
      <c r="AV222" s="92"/>
      <c r="AW222" s="93"/>
      <c r="AX222" s="77"/>
      <c r="AY222" s="80"/>
      <c r="AZ222" s="94"/>
      <c r="BA222" s="94"/>
      <c r="BB222" s="80" t="s">
        <v>519</v>
      </c>
      <c r="BC222" s="95"/>
      <c r="BD222" s="92"/>
      <c r="BE222" s="92"/>
      <c r="BF222" s="92"/>
      <c r="BG222" s="92"/>
      <c r="BH222" s="92"/>
      <c r="BI222" s="92"/>
      <c r="BJ222" s="92"/>
      <c r="BK222" s="92"/>
      <c r="BL222" s="92"/>
      <c r="BM222" s="92"/>
      <c r="BN222" s="92"/>
      <c r="BO222" s="92"/>
      <c r="BP222" s="92"/>
      <c r="BQ222" s="92"/>
      <c r="BS222" s="6"/>
      <c r="BT222" s="11"/>
      <c r="BU222" s="6"/>
      <c r="BV222" s="6"/>
    </row>
    <row r="223" spans="1:74" ht="15.75" x14ac:dyDescent="0.25">
      <c r="A223" s="50" t="s">
        <v>449</v>
      </c>
      <c r="B223" s="52"/>
      <c r="C223" s="7" t="s">
        <v>118</v>
      </c>
      <c r="D223" s="7" t="s">
        <v>978</v>
      </c>
      <c r="E223" s="7"/>
      <c r="F223" s="55"/>
      <c r="G223" s="6"/>
      <c r="H223" s="6"/>
      <c r="I223" s="10" t="s">
        <v>110</v>
      </c>
      <c r="J223" s="11" t="s">
        <v>1026</v>
      </c>
      <c r="K223" s="102" t="s">
        <v>512</v>
      </c>
      <c r="L223" s="98"/>
      <c r="M223" s="98">
        <v>1000</v>
      </c>
      <c r="N223" s="60" t="s">
        <v>980</v>
      </c>
      <c r="O223" s="88"/>
      <c r="P223" s="60" t="s">
        <v>1027</v>
      </c>
      <c r="Q223" s="60"/>
      <c r="R223" s="60"/>
      <c r="S223" s="89"/>
      <c r="T223" s="106"/>
      <c r="U223" s="88"/>
      <c r="V223" s="91"/>
      <c r="W223" s="12" t="s">
        <v>515</v>
      </c>
      <c r="X223" s="103"/>
      <c r="Y223" s="6" t="s">
        <v>1028</v>
      </c>
      <c r="Z223" s="64" t="s">
        <v>517</v>
      </c>
      <c r="AA223" s="12">
        <v>12</v>
      </c>
      <c r="AB223" s="6" t="s">
        <v>148</v>
      </c>
      <c r="AC223" s="64">
        <v>3060</v>
      </c>
      <c r="AJ223" s="60"/>
      <c r="AK223" s="67" t="s">
        <v>518</v>
      </c>
      <c r="AN223" s="60"/>
      <c r="AO223" s="60"/>
      <c r="AP223" s="60"/>
      <c r="AQ223" s="60"/>
      <c r="AR223" s="72"/>
      <c r="AS223" s="60"/>
      <c r="AT223" s="7"/>
      <c r="AU223" s="7"/>
      <c r="AV223" s="92"/>
      <c r="AW223" s="93"/>
      <c r="AX223" s="77"/>
      <c r="AY223" s="80"/>
      <c r="AZ223" s="94"/>
      <c r="BA223" s="94"/>
      <c r="BB223" s="80" t="s">
        <v>519</v>
      </c>
      <c r="BC223" s="95"/>
      <c r="BD223" s="92"/>
      <c r="BE223" s="92"/>
      <c r="BF223" s="92"/>
      <c r="BG223" s="92"/>
      <c r="BH223" s="92"/>
      <c r="BI223" s="92"/>
      <c r="BJ223" s="92"/>
      <c r="BK223" s="92"/>
      <c r="BL223" s="92"/>
      <c r="BM223" s="92"/>
      <c r="BN223" s="92"/>
      <c r="BO223" s="92"/>
      <c r="BP223" s="92"/>
      <c r="BQ223" s="92"/>
      <c r="BS223" s="6"/>
      <c r="BT223" s="11"/>
      <c r="BU223" s="6"/>
      <c r="BV223" s="6"/>
    </row>
    <row r="224" spans="1:74" ht="15.75" x14ac:dyDescent="0.25">
      <c r="A224" s="50" t="s">
        <v>449</v>
      </c>
      <c r="B224" s="52"/>
      <c r="C224" s="7" t="s">
        <v>118</v>
      </c>
      <c r="D224" s="7" t="s">
        <v>978</v>
      </c>
      <c r="E224" s="7"/>
      <c r="F224" s="55"/>
      <c r="G224" s="6"/>
      <c r="H224" s="6"/>
      <c r="I224" s="10" t="s">
        <v>110</v>
      </c>
      <c r="J224" s="11" t="s">
        <v>1029</v>
      </c>
      <c r="K224" s="102" t="s">
        <v>512</v>
      </c>
      <c r="L224" s="98"/>
      <c r="M224" s="98">
        <v>1000</v>
      </c>
      <c r="N224" s="60" t="s">
        <v>980</v>
      </c>
      <c r="O224" s="88"/>
      <c r="P224" s="60" t="s">
        <v>1030</v>
      </c>
      <c r="Q224" s="60"/>
      <c r="R224" s="60"/>
      <c r="S224" s="89"/>
      <c r="T224" s="106"/>
      <c r="U224" s="88"/>
      <c r="V224" s="91"/>
      <c r="W224" s="12" t="s">
        <v>515</v>
      </c>
      <c r="X224" s="103"/>
      <c r="Y224" s="6" t="s">
        <v>1028</v>
      </c>
      <c r="Z224" s="64" t="s">
        <v>522</v>
      </c>
      <c r="AA224" s="12">
        <v>12</v>
      </c>
      <c r="AB224" s="6" t="s">
        <v>148</v>
      </c>
      <c r="AC224" s="64">
        <v>3084</v>
      </c>
      <c r="AJ224" s="60"/>
      <c r="AK224" s="67" t="s">
        <v>450</v>
      </c>
      <c r="AN224" s="60"/>
      <c r="AO224" s="60"/>
      <c r="AP224" s="60"/>
      <c r="AQ224" s="60"/>
      <c r="AR224" s="72"/>
      <c r="AS224" s="60"/>
      <c r="AT224" s="7"/>
      <c r="AU224" s="7"/>
      <c r="AV224" s="92"/>
      <c r="AW224" s="93"/>
      <c r="AX224" s="77"/>
      <c r="AY224" s="80"/>
      <c r="AZ224" s="94"/>
      <c r="BA224" s="94"/>
      <c r="BB224" s="80" t="s">
        <v>519</v>
      </c>
      <c r="BC224" s="95"/>
      <c r="BD224" s="92"/>
      <c r="BE224" s="92"/>
      <c r="BF224" s="92"/>
      <c r="BG224" s="92"/>
      <c r="BH224" s="92"/>
      <c r="BI224" s="92"/>
      <c r="BJ224" s="92"/>
      <c r="BK224" s="92"/>
      <c r="BL224" s="92"/>
      <c r="BM224" s="92"/>
      <c r="BN224" s="92"/>
      <c r="BO224" s="92"/>
      <c r="BP224" s="92"/>
      <c r="BQ224" s="92"/>
      <c r="BS224" s="6"/>
      <c r="BT224" s="11"/>
      <c r="BU224" s="6"/>
      <c r="BV224" s="6"/>
    </row>
    <row r="225" spans="1:74" ht="15.75" x14ac:dyDescent="0.25">
      <c r="A225" s="50" t="s">
        <v>449</v>
      </c>
      <c r="B225" s="52"/>
      <c r="C225" s="7" t="s">
        <v>118</v>
      </c>
      <c r="D225" s="7" t="s">
        <v>978</v>
      </c>
      <c r="E225" s="7"/>
      <c r="F225" s="55"/>
      <c r="G225" s="6"/>
      <c r="H225" s="6"/>
      <c r="I225" s="10" t="s">
        <v>110</v>
      </c>
      <c r="J225" s="11" t="s">
        <v>1031</v>
      </c>
      <c r="K225" s="102" t="s">
        <v>512</v>
      </c>
      <c r="L225" s="98"/>
      <c r="M225" s="98">
        <v>1000</v>
      </c>
      <c r="N225" s="60" t="s">
        <v>980</v>
      </c>
      <c r="O225" s="88"/>
      <c r="P225" s="60" t="s">
        <v>1032</v>
      </c>
      <c r="Q225" s="60"/>
      <c r="R225" s="60"/>
      <c r="S225" s="89"/>
      <c r="T225" s="106"/>
      <c r="U225" s="88"/>
      <c r="V225" s="91"/>
      <c r="W225" s="12" t="s">
        <v>515</v>
      </c>
      <c r="X225" s="103"/>
      <c r="Y225" s="6" t="s">
        <v>1033</v>
      </c>
      <c r="Z225" s="64" t="s">
        <v>517</v>
      </c>
      <c r="AA225" s="12">
        <v>13</v>
      </c>
      <c r="AB225" s="6" t="s">
        <v>148</v>
      </c>
      <c r="AC225" s="64">
        <v>3060</v>
      </c>
      <c r="AJ225" s="60"/>
      <c r="AK225" s="67" t="s">
        <v>518</v>
      </c>
      <c r="AN225" s="60"/>
      <c r="AO225" s="60"/>
      <c r="AP225" s="60"/>
      <c r="AQ225" s="60"/>
      <c r="AR225" s="72"/>
      <c r="AS225" s="60"/>
      <c r="AT225" s="7"/>
      <c r="AU225" s="7"/>
      <c r="AV225" s="92"/>
      <c r="AW225" s="93"/>
      <c r="AX225" s="77"/>
      <c r="AY225" s="80"/>
      <c r="AZ225" s="94"/>
      <c r="BA225" s="94"/>
      <c r="BB225" s="80" t="s">
        <v>519</v>
      </c>
      <c r="BC225" s="95"/>
      <c r="BD225" s="92"/>
      <c r="BE225" s="92"/>
      <c r="BF225" s="92"/>
      <c r="BG225" s="92"/>
      <c r="BH225" s="92"/>
      <c r="BI225" s="92"/>
      <c r="BJ225" s="92"/>
      <c r="BK225" s="92"/>
      <c r="BL225" s="92"/>
      <c r="BM225" s="92"/>
      <c r="BN225" s="92"/>
      <c r="BO225" s="92"/>
      <c r="BP225" s="92"/>
      <c r="BQ225" s="92"/>
      <c r="BS225" s="6"/>
      <c r="BT225" s="11"/>
      <c r="BU225" s="6"/>
      <c r="BV225" s="6"/>
    </row>
    <row r="226" spans="1:74" ht="15.75" x14ac:dyDescent="0.25">
      <c r="A226" s="50" t="s">
        <v>449</v>
      </c>
      <c r="B226" s="52"/>
      <c r="C226" s="7" t="s">
        <v>118</v>
      </c>
      <c r="D226" s="7" t="s">
        <v>978</v>
      </c>
      <c r="E226" s="7"/>
      <c r="F226" s="55"/>
      <c r="G226" s="6"/>
      <c r="H226" s="6"/>
      <c r="I226" s="10" t="s">
        <v>110</v>
      </c>
      <c r="J226" s="11" t="s">
        <v>1034</v>
      </c>
      <c r="K226" s="102" t="s">
        <v>512</v>
      </c>
      <c r="L226" s="98"/>
      <c r="M226" s="98">
        <v>1000</v>
      </c>
      <c r="N226" s="60" t="s">
        <v>980</v>
      </c>
      <c r="O226" s="88"/>
      <c r="P226" s="60" t="s">
        <v>1035</v>
      </c>
      <c r="Q226" s="60"/>
      <c r="R226" s="60"/>
      <c r="S226" s="89"/>
      <c r="T226" s="106"/>
      <c r="U226" s="88"/>
      <c r="V226" s="91"/>
      <c r="W226" s="12" t="s">
        <v>515</v>
      </c>
      <c r="X226" s="103"/>
      <c r="Y226" s="6" t="s">
        <v>1033</v>
      </c>
      <c r="Z226" s="64" t="s">
        <v>522</v>
      </c>
      <c r="AA226" s="12">
        <v>13</v>
      </c>
      <c r="AB226" s="6" t="s">
        <v>148</v>
      </c>
      <c r="AC226" s="64">
        <v>3084</v>
      </c>
      <c r="AJ226" s="60"/>
      <c r="AK226" s="67" t="s">
        <v>450</v>
      </c>
      <c r="AN226" s="60"/>
      <c r="AO226" s="60"/>
      <c r="AP226" s="60"/>
      <c r="AQ226" s="60"/>
      <c r="AR226" s="72"/>
      <c r="AS226" s="60"/>
      <c r="AT226" s="7"/>
      <c r="AU226" s="7"/>
      <c r="AV226" s="92"/>
      <c r="AW226" s="93"/>
      <c r="AX226" s="77"/>
      <c r="AY226" s="80"/>
      <c r="AZ226" s="94"/>
      <c r="BA226" s="94"/>
      <c r="BB226" s="80" t="s">
        <v>519</v>
      </c>
      <c r="BC226" s="95"/>
      <c r="BD226" s="92"/>
      <c r="BE226" s="92"/>
      <c r="BF226" s="92"/>
      <c r="BG226" s="92"/>
      <c r="BH226" s="92"/>
      <c r="BI226" s="92"/>
      <c r="BJ226" s="92"/>
      <c r="BK226" s="92"/>
      <c r="BL226" s="92"/>
      <c r="BM226" s="92"/>
      <c r="BN226" s="92"/>
      <c r="BO226" s="92"/>
      <c r="BP226" s="92"/>
      <c r="BQ226" s="92"/>
      <c r="BS226" s="6"/>
      <c r="BT226" s="11"/>
      <c r="BU226" s="6"/>
      <c r="BV226" s="6"/>
    </row>
    <row r="227" spans="1:74" ht="15.75" x14ac:dyDescent="0.25">
      <c r="A227" s="50" t="s">
        <v>449</v>
      </c>
      <c r="B227" s="52"/>
      <c r="C227" s="7" t="s">
        <v>118</v>
      </c>
      <c r="D227" s="7" t="s">
        <v>978</v>
      </c>
      <c r="E227" s="7"/>
      <c r="F227" s="55"/>
      <c r="G227" s="6"/>
      <c r="H227" s="6"/>
      <c r="I227" s="10" t="s">
        <v>110</v>
      </c>
      <c r="J227" s="11" t="s">
        <v>1036</v>
      </c>
      <c r="K227" s="102" t="s">
        <v>512</v>
      </c>
      <c r="L227" s="98"/>
      <c r="M227" s="98">
        <v>1000</v>
      </c>
      <c r="N227" s="60" t="s">
        <v>980</v>
      </c>
      <c r="O227" s="88"/>
      <c r="P227" s="60" t="s">
        <v>1037</v>
      </c>
      <c r="Q227" s="60"/>
      <c r="R227" s="60"/>
      <c r="S227" s="89"/>
      <c r="T227" s="106"/>
      <c r="U227" s="88"/>
      <c r="V227" s="91"/>
      <c r="W227" s="12" t="s">
        <v>515</v>
      </c>
      <c r="X227" s="103"/>
      <c r="Y227" s="6" t="s">
        <v>1038</v>
      </c>
      <c r="Z227" s="64" t="s">
        <v>517</v>
      </c>
      <c r="AA227" s="12">
        <v>14</v>
      </c>
      <c r="AB227" s="6" t="s">
        <v>148</v>
      </c>
      <c r="AC227" s="64">
        <v>3060</v>
      </c>
      <c r="AJ227" s="60"/>
      <c r="AK227" s="67" t="s">
        <v>518</v>
      </c>
      <c r="AN227" s="60"/>
      <c r="AO227" s="60"/>
      <c r="AP227" s="60"/>
      <c r="AQ227" s="60"/>
      <c r="AR227" s="72"/>
      <c r="AS227" s="60"/>
      <c r="AT227" s="7"/>
      <c r="AU227" s="7"/>
      <c r="AV227" s="92"/>
      <c r="AW227" s="93"/>
      <c r="AX227" s="77"/>
      <c r="AY227" s="80"/>
      <c r="AZ227" s="94"/>
      <c r="BA227" s="94"/>
      <c r="BB227" s="80" t="s">
        <v>519</v>
      </c>
      <c r="BC227" s="95"/>
      <c r="BD227" s="92"/>
      <c r="BE227" s="92"/>
      <c r="BF227" s="92"/>
      <c r="BG227" s="92"/>
      <c r="BH227" s="92"/>
      <c r="BI227" s="92"/>
      <c r="BJ227" s="92"/>
      <c r="BK227" s="92"/>
      <c r="BL227" s="92"/>
      <c r="BM227" s="92"/>
      <c r="BN227" s="92"/>
      <c r="BO227" s="92"/>
      <c r="BP227" s="92"/>
      <c r="BQ227" s="92"/>
      <c r="BS227" s="6"/>
      <c r="BT227" s="11"/>
      <c r="BU227" s="6"/>
      <c r="BV227" s="6"/>
    </row>
    <row r="228" spans="1:74" ht="15.75" x14ac:dyDescent="0.25">
      <c r="A228" s="50" t="s">
        <v>449</v>
      </c>
      <c r="B228" s="52"/>
      <c r="C228" s="7" t="s">
        <v>118</v>
      </c>
      <c r="D228" s="7" t="s">
        <v>978</v>
      </c>
      <c r="E228" s="7"/>
      <c r="F228" s="55"/>
      <c r="G228" s="6"/>
      <c r="H228" s="6"/>
      <c r="I228" s="10" t="s">
        <v>110</v>
      </c>
      <c r="J228" s="11" t="s">
        <v>1039</v>
      </c>
      <c r="K228" s="102" t="s">
        <v>512</v>
      </c>
      <c r="L228" s="98"/>
      <c r="M228" s="98">
        <v>1000</v>
      </c>
      <c r="N228" s="60" t="s">
        <v>980</v>
      </c>
      <c r="O228" s="88"/>
      <c r="P228" s="60" t="s">
        <v>1040</v>
      </c>
      <c r="Q228" s="60"/>
      <c r="R228" s="60"/>
      <c r="S228" s="89"/>
      <c r="T228" s="106"/>
      <c r="U228" s="88"/>
      <c r="V228" s="91"/>
      <c r="W228" s="12" t="s">
        <v>515</v>
      </c>
      <c r="X228" s="103"/>
      <c r="Y228" s="6" t="s">
        <v>1038</v>
      </c>
      <c r="Z228" s="64" t="s">
        <v>522</v>
      </c>
      <c r="AA228" s="12">
        <v>14</v>
      </c>
      <c r="AB228" s="6" t="s">
        <v>148</v>
      </c>
      <c r="AC228" s="64">
        <v>3084</v>
      </c>
      <c r="AJ228" s="60"/>
      <c r="AK228" s="67" t="s">
        <v>450</v>
      </c>
      <c r="AN228" s="60"/>
      <c r="AO228" s="60"/>
      <c r="AP228" s="60"/>
      <c r="AQ228" s="60"/>
      <c r="AR228" s="72"/>
      <c r="AS228" s="60"/>
      <c r="AT228" s="7"/>
      <c r="AU228" s="7"/>
      <c r="AV228" s="92"/>
      <c r="AW228" s="93"/>
      <c r="AX228" s="77"/>
      <c r="AY228" s="80"/>
      <c r="AZ228" s="94"/>
      <c r="BA228" s="94"/>
      <c r="BB228" s="80" t="s">
        <v>519</v>
      </c>
      <c r="BC228" s="95"/>
      <c r="BD228" s="92"/>
      <c r="BE228" s="92"/>
      <c r="BF228" s="92"/>
      <c r="BG228" s="92"/>
      <c r="BH228" s="92"/>
      <c r="BI228" s="92"/>
      <c r="BJ228" s="92"/>
      <c r="BK228" s="92"/>
      <c r="BL228" s="92"/>
      <c r="BM228" s="92"/>
      <c r="BN228" s="92"/>
      <c r="BO228" s="92"/>
      <c r="BP228" s="92"/>
      <c r="BQ228" s="92"/>
      <c r="BS228" s="6"/>
      <c r="BT228" s="11"/>
      <c r="BU228" s="6"/>
      <c r="BV228" s="6"/>
    </row>
    <row r="229" spans="1:74" ht="15.75" x14ac:dyDescent="0.25">
      <c r="A229" s="50" t="s">
        <v>449</v>
      </c>
      <c r="B229" s="52"/>
      <c r="C229" s="7" t="s">
        <v>118</v>
      </c>
      <c r="D229" s="7" t="s">
        <v>978</v>
      </c>
      <c r="E229" s="7"/>
      <c r="F229" s="55"/>
      <c r="G229" s="6"/>
      <c r="H229" s="6"/>
      <c r="I229" s="10" t="s">
        <v>110</v>
      </c>
      <c r="J229" s="11" t="s">
        <v>1041</v>
      </c>
      <c r="K229" s="102" t="s">
        <v>512</v>
      </c>
      <c r="L229" s="98"/>
      <c r="M229" s="98">
        <v>1000</v>
      </c>
      <c r="N229" s="60" t="s">
        <v>980</v>
      </c>
      <c r="O229" s="88"/>
      <c r="P229" s="60" t="s">
        <v>1042</v>
      </c>
      <c r="Q229" s="60"/>
      <c r="R229" s="60"/>
      <c r="S229" s="89"/>
      <c r="T229" s="106"/>
      <c r="U229" s="88"/>
      <c r="V229" s="91"/>
      <c r="W229" s="12" t="s">
        <v>515</v>
      </c>
      <c r="X229" s="103"/>
      <c r="Y229" s="6" t="s">
        <v>1043</v>
      </c>
      <c r="Z229" s="64" t="s">
        <v>517</v>
      </c>
      <c r="AA229" s="12">
        <v>15</v>
      </c>
      <c r="AB229" s="6" t="s">
        <v>148</v>
      </c>
      <c r="AC229" s="64">
        <v>3060</v>
      </c>
      <c r="AJ229" s="60"/>
      <c r="AK229" s="67" t="s">
        <v>518</v>
      </c>
      <c r="AN229" s="60"/>
      <c r="AO229" s="60"/>
      <c r="AP229" s="60"/>
      <c r="AQ229" s="60"/>
      <c r="AR229" s="72"/>
      <c r="AS229" s="60"/>
      <c r="AT229" s="7"/>
      <c r="AU229" s="7"/>
      <c r="AV229" s="92"/>
      <c r="AW229" s="93"/>
      <c r="AX229" s="77"/>
      <c r="AY229" s="80"/>
      <c r="AZ229" s="94"/>
      <c r="BA229" s="94"/>
      <c r="BB229" s="80" t="s">
        <v>519</v>
      </c>
      <c r="BC229" s="95"/>
      <c r="BD229" s="92"/>
      <c r="BE229" s="92"/>
      <c r="BF229" s="92"/>
      <c r="BG229" s="92"/>
      <c r="BH229" s="92"/>
      <c r="BI229" s="92"/>
      <c r="BJ229" s="92"/>
      <c r="BK229" s="92"/>
      <c r="BL229" s="92"/>
      <c r="BM229" s="92"/>
      <c r="BN229" s="92"/>
      <c r="BO229" s="92"/>
      <c r="BP229" s="92"/>
      <c r="BQ229" s="92"/>
      <c r="BS229" s="6"/>
      <c r="BT229" s="11"/>
      <c r="BU229" s="6"/>
      <c r="BV229" s="6"/>
    </row>
    <row r="230" spans="1:74" ht="15.75" x14ac:dyDescent="0.25">
      <c r="A230" s="50" t="s">
        <v>449</v>
      </c>
      <c r="B230" s="52"/>
      <c r="C230" s="7" t="s">
        <v>118</v>
      </c>
      <c r="D230" s="7" t="s">
        <v>978</v>
      </c>
      <c r="E230" s="7"/>
      <c r="F230" s="55"/>
      <c r="G230" s="6"/>
      <c r="H230" s="6"/>
      <c r="I230" s="10" t="s">
        <v>110</v>
      </c>
      <c r="J230" s="11" t="s">
        <v>1044</v>
      </c>
      <c r="K230" s="102" t="s">
        <v>512</v>
      </c>
      <c r="L230" s="98"/>
      <c r="M230" s="98">
        <v>1000</v>
      </c>
      <c r="N230" s="60" t="s">
        <v>980</v>
      </c>
      <c r="O230" s="88"/>
      <c r="P230" s="60" t="s">
        <v>1045</v>
      </c>
      <c r="Q230" s="60"/>
      <c r="R230" s="60"/>
      <c r="S230" s="89"/>
      <c r="T230" s="106"/>
      <c r="U230" s="88"/>
      <c r="V230" s="91"/>
      <c r="W230" s="12" t="s">
        <v>515</v>
      </c>
      <c r="X230" s="103"/>
      <c r="Y230" s="6" t="s">
        <v>1043</v>
      </c>
      <c r="Z230" s="64" t="s">
        <v>522</v>
      </c>
      <c r="AA230" s="12">
        <v>15</v>
      </c>
      <c r="AB230" s="6" t="s">
        <v>148</v>
      </c>
      <c r="AC230" s="64">
        <v>3084</v>
      </c>
      <c r="AJ230" s="60"/>
      <c r="AK230" s="67" t="s">
        <v>450</v>
      </c>
      <c r="AN230" s="60"/>
      <c r="AO230" s="60"/>
      <c r="AP230" s="60"/>
      <c r="AQ230" s="60"/>
      <c r="AR230" s="72"/>
      <c r="AS230" s="60"/>
      <c r="AT230" s="7"/>
      <c r="AU230" s="7"/>
      <c r="AV230" s="92"/>
      <c r="AW230" s="93"/>
      <c r="AX230" s="77"/>
      <c r="AY230" s="80"/>
      <c r="AZ230" s="94"/>
      <c r="BA230" s="94"/>
      <c r="BB230" s="80" t="s">
        <v>519</v>
      </c>
      <c r="BC230" s="95"/>
      <c r="BD230" s="92"/>
      <c r="BE230" s="92"/>
      <c r="BF230" s="92"/>
      <c r="BG230" s="92"/>
      <c r="BH230" s="92"/>
      <c r="BI230" s="92"/>
      <c r="BJ230" s="92"/>
      <c r="BK230" s="92"/>
      <c r="BL230" s="92"/>
      <c r="BM230" s="92"/>
      <c r="BN230" s="92"/>
      <c r="BO230" s="92"/>
      <c r="BP230" s="92"/>
      <c r="BQ230" s="92"/>
      <c r="BS230" s="6"/>
      <c r="BT230" s="11"/>
      <c r="BU230" s="6"/>
      <c r="BV230" s="6"/>
    </row>
    <row r="231" spans="1:74" ht="15.75" x14ac:dyDescent="0.25">
      <c r="A231" s="50" t="s">
        <v>449</v>
      </c>
      <c r="B231" s="52"/>
      <c r="C231" s="7" t="s">
        <v>118</v>
      </c>
      <c r="D231" s="7" t="s">
        <v>978</v>
      </c>
      <c r="E231" s="7"/>
      <c r="F231" s="55"/>
      <c r="G231" s="6"/>
      <c r="H231" s="6"/>
      <c r="I231" s="10" t="s">
        <v>110</v>
      </c>
      <c r="J231" s="11" t="s">
        <v>1046</v>
      </c>
      <c r="K231" s="102" t="s">
        <v>512</v>
      </c>
      <c r="L231" s="98"/>
      <c r="M231" s="98">
        <v>1000</v>
      </c>
      <c r="N231" s="60" t="s">
        <v>980</v>
      </c>
      <c r="O231" s="88"/>
      <c r="P231" s="60" t="s">
        <v>1047</v>
      </c>
      <c r="Q231" s="60"/>
      <c r="R231" s="60"/>
      <c r="S231" s="89"/>
      <c r="T231" s="106"/>
      <c r="U231" s="88"/>
      <c r="V231" s="91"/>
      <c r="W231" s="12" t="s">
        <v>515</v>
      </c>
      <c r="X231" s="103"/>
      <c r="Y231" s="6" t="s">
        <v>1048</v>
      </c>
      <c r="Z231" s="64" t="s">
        <v>517</v>
      </c>
      <c r="AA231" s="12">
        <v>16</v>
      </c>
      <c r="AB231" s="6" t="s">
        <v>148</v>
      </c>
      <c r="AC231" s="64">
        <v>3060</v>
      </c>
      <c r="AJ231" s="60"/>
      <c r="AK231" s="67" t="s">
        <v>518</v>
      </c>
      <c r="AN231" s="60"/>
      <c r="AO231" s="60"/>
      <c r="AP231" s="60"/>
      <c r="AQ231" s="60"/>
      <c r="AR231" s="72"/>
      <c r="AS231" s="60"/>
      <c r="AT231" s="7"/>
      <c r="AU231" s="7"/>
      <c r="AV231" s="92"/>
      <c r="AW231" s="93"/>
      <c r="AX231" s="77"/>
      <c r="AY231" s="80"/>
      <c r="AZ231" s="94"/>
      <c r="BA231" s="94"/>
      <c r="BB231" s="80" t="s">
        <v>519</v>
      </c>
      <c r="BC231" s="95"/>
      <c r="BD231" s="92"/>
      <c r="BE231" s="92"/>
      <c r="BF231" s="92"/>
      <c r="BG231" s="92"/>
      <c r="BH231" s="92"/>
      <c r="BI231" s="92"/>
      <c r="BJ231" s="92"/>
      <c r="BK231" s="92"/>
      <c r="BL231" s="92"/>
      <c r="BM231" s="92"/>
      <c r="BN231" s="92"/>
      <c r="BO231" s="92"/>
      <c r="BP231" s="92"/>
      <c r="BQ231" s="92"/>
      <c r="BS231" s="6"/>
      <c r="BT231" s="11"/>
      <c r="BU231" s="6"/>
      <c r="BV231" s="6"/>
    </row>
    <row r="232" spans="1:74" ht="15.75" x14ac:dyDescent="0.25">
      <c r="A232" s="50" t="s">
        <v>449</v>
      </c>
      <c r="B232" s="52"/>
      <c r="C232" s="7" t="s">
        <v>118</v>
      </c>
      <c r="D232" s="7" t="s">
        <v>978</v>
      </c>
      <c r="E232" s="7"/>
      <c r="F232" s="55"/>
      <c r="G232" s="6"/>
      <c r="H232" s="6"/>
      <c r="I232" s="10" t="s">
        <v>110</v>
      </c>
      <c r="J232" s="11" t="s">
        <v>1049</v>
      </c>
      <c r="K232" s="102" t="s">
        <v>512</v>
      </c>
      <c r="L232" s="98"/>
      <c r="M232" s="98">
        <v>1000</v>
      </c>
      <c r="N232" s="60" t="s">
        <v>980</v>
      </c>
      <c r="O232" s="88"/>
      <c r="P232" s="60" t="s">
        <v>1050</v>
      </c>
      <c r="Q232" s="60"/>
      <c r="R232" s="60"/>
      <c r="S232" s="89"/>
      <c r="T232" s="106"/>
      <c r="U232" s="88"/>
      <c r="V232" s="91"/>
      <c r="W232" s="12" t="s">
        <v>515</v>
      </c>
      <c r="X232" s="103"/>
      <c r="Y232" s="6" t="s">
        <v>1048</v>
      </c>
      <c r="Z232" s="64" t="s">
        <v>522</v>
      </c>
      <c r="AA232" s="12">
        <v>16</v>
      </c>
      <c r="AB232" s="6" t="s">
        <v>148</v>
      </c>
      <c r="AC232" s="64">
        <v>3084</v>
      </c>
      <c r="AJ232" s="60"/>
      <c r="AK232" s="67" t="s">
        <v>450</v>
      </c>
      <c r="AN232" s="60"/>
      <c r="AO232" s="60"/>
      <c r="AP232" s="60"/>
      <c r="AQ232" s="60"/>
      <c r="AR232" s="72"/>
      <c r="AS232" s="60"/>
      <c r="AT232" s="7"/>
      <c r="AU232" s="7"/>
      <c r="AV232" s="92"/>
      <c r="AW232" s="93"/>
      <c r="AX232" s="77"/>
      <c r="AY232" s="80"/>
      <c r="AZ232" s="94"/>
      <c r="BA232" s="94"/>
      <c r="BB232" s="80" t="s">
        <v>519</v>
      </c>
      <c r="BC232" s="95"/>
      <c r="BD232" s="92"/>
      <c r="BE232" s="92"/>
      <c r="BF232" s="92"/>
      <c r="BG232" s="92"/>
      <c r="BH232" s="92"/>
      <c r="BI232" s="92"/>
      <c r="BJ232" s="92"/>
      <c r="BK232" s="92"/>
      <c r="BL232" s="92"/>
      <c r="BM232" s="92"/>
      <c r="BN232" s="92"/>
      <c r="BO232" s="92"/>
      <c r="BP232" s="92"/>
      <c r="BQ232" s="92"/>
      <c r="BS232" s="6"/>
      <c r="BT232" s="11"/>
      <c r="BU232" s="6"/>
      <c r="BV232" s="6"/>
    </row>
    <row r="233" spans="1:74" ht="15.75" x14ac:dyDescent="0.25">
      <c r="A233" s="50" t="s">
        <v>449</v>
      </c>
      <c r="B233" s="52"/>
      <c r="C233" s="7" t="s">
        <v>118</v>
      </c>
      <c r="D233" s="7" t="s">
        <v>978</v>
      </c>
      <c r="E233" s="7"/>
      <c r="F233" s="55"/>
      <c r="G233" s="6"/>
      <c r="H233" s="6"/>
      <c r="I233" s="10" t="s">
        <v>110</v>
      </c>
      <c r="J233" s="11" t="s">
        <v>1051</v>
      </c>
      <c r="K233" s="102" t="s">
        <v>512</v>
      </c>
      <c r="L233" s="98"/>
      <c r="M233" s="98">
        <v>1000</v>
      </c>
      <c r="N233" s="60" t="s">
        <v>980</v>
      </c>
      <c r="O233" s="88"/>
      <c r="P233" s="60" t="s">
        <v>1052</v>
      </c>
      <c r="Q233" s="60"/>
      <c r="R233" s="60"/>
      <c r="S233" s="89"/>
      <c r="T233" s="106"/>
      <c r="U233" s="88"/>
      <c r="V233" s="91"/>
      <c r="W233" s="12" t="s">
        <v>515</v>
      </c>
      <c r="X233" s="103"/>
      <c r="Y233" s="6" t="s">
        <v>1053</v>
      </c>
      <c r="Z233" s="64" t="s">
        <v>517</v>
      </c>
      <c r="AA233" s="12">
        <v>17</v>
      </c>
      <c r="AB233" s="6" t="s">
        <v>148</v>
      </c>
      <c r="AC233" s="64">
        <v>3060</v>
      </c>
      <c r="AJ233" s="60"/>
      <c r="AK233" s="67" t="s">
        <v>518</v>
      </c>
      <c r="AN233" s="60"/>
      <c r="AO233" s="60"/>
      <c r="AP233" s="60"/>
      <c r="AQ233" s="60"/>
      <c r="AR233" s="72"/>
      <c r="AS233" s="60"/>
      <c r="AT233" s="7"/>
      <c r="AU233" s="7"/>
      <c r="AV233" s="92"/>
      <c r="AW233" s="93"/>
      <c r="AX233" s="77"/>
      <c r="AY233" s="80"/>
      <c r="AZ233" s="94"/>
      <c r="BA233" s="94"/>
      <c r="BB233" s="80" t="s">
        <v>519</v>
      </c>
      <c r="BC233" s="95"/>
      <c r="BD233" s="92"/>
      <c r="BE233" s="92"/>
      <c r="BF233" s="92"/>
      <c r="BG233" s="92"/>
      <c r="BH233" s="92"/>
      <c r="BI233" s="92"/>
      <c r="BJ233" s="92"/>
      <c r="BK233" s="92"/>
      <c r="BL233" s="92"/>
      <c r="BM233" s="92"/>
      <c r="BN233" s="92"/>
      <c r="BO233" s="92"/>
      <c r="BP233" s="92"/>
      <c r="BQ233" s="92"/>
      <c r="BS233" s="6"/>
      <c r="BT233" s="11"/>
      <c r="BU233" s="6"/>
      <c r="BV233" s="6"/>
    </row>
    <row r="234" spans="1:74" ht="15.75" x14ac:dyDescent="0.25">
      <c r="A234" s="50" t="s">
        <v>449</v>
      </c>
      <c r="B234" s="52"/>
      <c r="C234" s="7" t="s">
        <v>118</v>
      </c>
      <c r="D234" s="7" t="s">
        <v>978</v>
      </c>
      <c r="E234" s="7"/>
      <c r="F234" s="55"/>
      <c r="G234" s="6"/>
      <c r="H234" s="6"/>
      <c r="I234" s="10" t="s">
        <v>110</v>
      </c>
      <c r="J234" s="11" t="s">
        <v>1054</v>
      </c>
      <c r="K234" s="102" t="s">
        <v>512</v>
      </c>
      <c r="L234" s="98"/>
      <c r="M234" s="98">
        <v>1000</v>
      </c>
      <c r="N234" s="60" t="s">
        <v>980</v>
      </c>
      <c r="O234" s="88"/>
      <c r="P234" s="60" t="s">
        <v>1055</v>
      </c>
      <c r="Q234" s="60"/>
      <c r="R234" s="60"/>
      <c r="S234" s="89"/>
      <c r="T234" s="106"/>
      <c r="U234" s="88"/>
      <c r="V234" s="91"/>
      <c r="W234" s="12" t="s">
        <v>515</v>
      </c>
      <c r="X234" s="103"/>
      <c r="Y234" s="6" t="s">
        <v>1053</v>
      </c>
      <c r="Z234" s="64" t="s">
        <v>522</v>
      </c>
      <c r="AA234" s="12">
        <v>17</v>
      </c>
      <c r="AB234" s="6" t="s">
        <v>148</v>
      </c>
      <c r="AC234" s="64">
        <v>3084</v>
      </c>
      <c r="AJ234" s="60"/>
      <c r="AK234" s="67" t="s">
        <v>450</v>
      </c>
      <c r="AN234" s="60"/>
      <c r="AO234" s="60"/>
      <c r="AP234" s="60"/>
      <c r="AQ234" s="60"/>
      <c r="AR234" s="72"/>
      <c r="AS234" s="60"/>
      <c r="AT234" s="7"/>
      <c r="AU234" s="7"/>
      <c r="AV234" s="92"/>
      <c r="AW234" s="93"/>
      <c r="AX234" s="77"/>
      <c r="AY234" s="80"/>
      <c r="AZ234" s="94"/>
      <c r="BA234" s="94"/>
      <c r="BB234" s="80" t="s">
        <v>519</v>
      </c>
      <c r="BC234" s="95"/>
      <c r="BD234" s="92"/>
      <c r="BE234" s="92"/>
      <c r="BF234" s="92"/>
      <c r="BG234" s="92"/>
      <c r="BH234" s="92"/>
      <c r="BI234" s="92"/>
      <c r="BJ234" s="92"/>
      <c r="BK234" s="92"/>
      <c r="BL234" s="92"/>
      <c r="BM234" s="92"/>
      <c r="BN234" s="92"/>
      <c r="BO234" s="92"/>
      <c r="BP234" s="92"/>
      <c r="BQ234" s="92"/>
      <c r="BS234" s="6"/>
      <c r="BT234" s="11"/>
      <c r="BU234" s="6"/>
      <c r="BV234" s="6"/>
    </row>
    <row r="235" spans="1:74" ht="15.75" x14ac:dyDescent="0.25">
      <c r="A235" s="50" t="s">
        <v>449</v>
      </c>
      <c r="B235" s="52"/>
      <c r="C235" s="7" t="s">
        <v>118</v>
      </c>
      <c r="D235" s="7" t="s">
        <v>978</v>
      </c>
      <c r="E235" s="7"/>
      <c r="F235" s="55"/>
      <c r="G235" s="6"/>
      <c r="H235" s="6"/>
      <c r="I235" s="10" t="s">
        <v>110</v>
      </c>
      <c r="J235" s="11" t="s">
        <v>1056</v>
      </c>
      <c r="K235" s="102" t="s">
        <v>512</v>
      </c>
      <c r="L235" s="98"/>
      <c r="M235" s="98">
        <v>1000</v>
      </c>
      <c r="N235" s="60" t="s">
        <v>980</v>
      </c>
      <c r="O235" s="88"/>
      <c r="P235" s="60" t="s">
        <v>1057</v>
      </c>
      <c r="Q235" s="60"/>
      <c r="R235" s="60"/>
      <c r="S235" s="89"/>
      <c r="T235" s="106"/>
      <c r="U235" s="88"/>
      <c r="V235" s="91"/>
      <c r="W235" s="12" t="s">
        <v>515</v>
      </c>
      <c r="X235" s="103"/>
      <c r="Y235" s="6" t="s">
        <v>1058</v>
      </c>
      <c r="Z235" s="64" t="s">
        <v>517</v>
      </c>
      <c r="AA235" s="12">
        <v>18</v>
      </c>
      <c r="AB235" s="6" t="s">
        <v>148</v>
      </c>
      <c r="AC235" s="64">
        <v>3060</v>
      </c>
      <c r="AJ235" s="60"/>
      <c r="AK235" s="67" t="s">
        <v>518</v>
      </c>
      <c r="AN235" s="60"/>
      <c r="AO235" s="60"/>
      <c r="AP235" s="60"/>
      <c r="AQ235" s="60"/>
      <c r="AR235" s="72"/>
      <c r="AS235" s="60"/>
      <c r="AT235" s="7"/>
      <c r="AU235" s="7"/>
      <c r="AV235" s="92"/>
      <c r="AW235" s="93"/>
      <c r="AX235" s="77"/>
      <c r="AY235" s="80"/>
      <c r="AZ235" s="94"/>
      <c r="BA235" s="94"/>
      <c r="BB235" s="80" t="s">
        <v>519</v>
      </c>
      <c r="BC235" s="95"/>
      <c r="BD235" s="92"/>
      <c r="BE235" s="92"/>
      <c r="BF235" s="92"/>
      <c r="BG235" s="92"/>
      <c r="BH235" s="92"/>
      <c r="BI235" s="92"/>
      <c r="BJ235" s="92"/>
      <c r="BK235" s="92"/>
      <c r="BL235" s="92"/>
      <c r="BM235" s="92"/>
      <c r="BN235" s="92"/>
      <c r="BO235" s="92"/>
      <c r="BP235" s="92"/>
      <c r="BQ235" s="92"/>
      <c r="BS235" s="6"/>
      <c r="BT235" s="11"/>
      <c r="BU235" s="6"/>
      <c r="BV235" s="6"/>
    </row>
    <row r="236" spans="1:74" ht="15.75" x14ac:dyDescent="0.25">
      <c r="A236" s="50" t="s">
        <v>449</v>
      </c>
      <c r="B236" s="52"/>
      <c r="C236" s="7" t="s">
        <v>118</v>
      </c>
      <c r="D236" s="7" t="s">
        <v>978</v>
      </c>
      <c r="E236" s="7"/>
      <c r="F236" s="55"/>
      <c r="G236" s="6"/>
      <c r="H236" s="6"/>
      <c r="I236" s="10" t="s">
        <v>110</v>
      </c>
      <c r="J236" s="11" t="s">
        <v>1059</v>
      </c>
      <c r="K236" s="102" t="s">
        <v>512</v>
      </c>
      <c r="L236" s="98"/>
      <c r="M236" s="98">
        <v>1000</v>
      </c>
      <c r="N236" s="60" t="s">
        <v>980</v>
      </c>
      <c r="O236" s="88"/>
      <c r="P236" s="60" t="s">
        <v>1060</v>
      </c>
      <c r="Q236" s="60"/>
      <c r="R236" s="60"/>
      <c r="S236" s="89"/>
      <c r="T236" s="106"/>
      <c r="U236" s="88"/>
      <c r="V236" s="91"/>
      <c r="W236" s="12" t="s">
        <v>515</v>
      </c>
      <c r="X236" s="103"/>
      <c r="Y236" s="6" t="s">
        <v>1058</v>
      </c>
      <c r="Z236" s="64" t="s">
        <v>522</v>
      </c>
      <c r="AA236" s="12">
        <v>18</v>
      </c>
      <c r="AB236" s="6" t="s">
        <v>148</v>
      </c>
      <c r="AC236" s="64">
        <v>3084</v>
      </c>
      <c r="AJ236" s="60"/>
      <c r="AK236" s="67" t="s">
        <v>450</v>
      </c>
      <c r="AN236" s="60"/>
      <c r="AO236" s="60"/>
      <c r="AP236" s="60"/>
      <c r="AQ236" s="60"/>
      <c r="AR236" s="72"/>
      <c r="AS236" s="60"/>
      <c r="AT236" s="7"/>
      <c r="AU236" s="7"/>
      <c r="AV236" s="92"/>
      <c r="AW236" s="93"/>
      <c r="AX236" s="77"/>
      <c r="AY236" s="80"/>
      <c r="AZ236" s="94"/>
      <c r="BA236" s="94"/>
      <c r="BB236" s="80" t="s">
        <v>519</v>
      </c>
      <c r="BC236" s="95"/>
      <c r="BD236" s="92"/>
      <c r="BE236" s="92"/>
      <c r="BF236" s="92"/>
      <c r="BG236" s="92"/>
      <c r="BH236" s="92"/>
      <c r="BI236" s="92"/>
      <c r="BJ236" s="92"/>
      <c r="BK236" s="92"/>
      <c r="BL236" s="92"/>
      <c r="BM236" s="92"/>
      <c r="BN236" s="92"/>
      <c r="BO236" s="92"/>
      <c r="BP236" s="92"/>
      <c r="BQ236" s="92"/>
      <c r="BS236" s="6"/>
      <c r="BT236" s="11"/>
      <c r="BU236" s="6"/>
      <c r="BV236" s="6"/>
    </row>
    <row r="237" spans="1:74" ht="15.75" x14ac:dyDescent="0.25">
      <c r="A237" s="50" t="s">
        <v>449</v>
      </c>
      <c r="B237" s="52"/>
      <c r="C237" s="7" t="s">
        <v>118</v>
      </c>
      <c r="D237" s="7" t="s">
        <v>978</v>
      </c>
      <c r="E237" s="7"/>
      <c r="F237" s="55"/>
      <c r="G237" s="6"/>
      <c r="H237" s="6"/>
      <c r="I237" s="10" t="s">
        <v>110</v>
      </c>
      <c r="J237" s="11" t="s">
        <v>1061</v>
      </c>
      <c r="K237" s="102" t="s">
        <v>512</v>
      </c>
      <c r="L237" s="98"/>
      <c r="M237" s="98">
        <v>1000</v>
      </c>
      <c r="N237" s="60" t="s">
        <v>980</v>
      </c>
      <c r="O237" s="88"/>
      <c r="P237" s="60" t="s">
        <v>1062</v>
      </c>
      <c r="Q237" s="60"/>
      <c r="R237" s="60"/>
      <c r="S237" s="89"/>
      <c r="T237" s="106"/>
      <c r="U237" s="88"/>
      <c r="V237" s="91"/>
      <c r="W237" s="12" t="s">
        <v>515</v>
      </c>
      <c r="X237" s="103"/>
      <c r="Y237" s="6" t="s">
        <v>1063</v>
      </c>
      <c r="Z237" s="64" t="s">
        <v>517</v>
      </c>
      <c r="AA237" s="12">
        <v>19</v>
      </c>
      <c r="AB237" s="6" t="s">
        <v>148</v>
      </c>
      <c r="AC237" s="64">
        <v>3060</v>
      </c>
      <c r="AJ237" s="60"/>
      <c r="AK237" s="67" t="s">
        <v>518</v>
      </c>
      <c r="AN237" s="60"/>
      <c r="AO237" s="60"/>
      <c r="AP237" s="60"/>
      <c r="AQ237" s="60"/>
      <c r="AR237" s="72"/>
      <c r="AS237" s="60"/>
      <c r="AT237" s="7"/>
      <c r="AU237" s="7"/>
      <c r="AV237" s="92"/>
      <c r="AW237" s="93"/>
      <c r="AX237" s="77"/>
      <c r="AY237" s="80"/>
      <c r="AZ237" s="94"/>
      <c r="BA237" s="94"/>
      <c r="BB237" s="80" t="s">
        <v>519</v>
      </c>
      <c r="BC237" s="95"/>
      <c r="BD237" s="92"/>
      <c r="BE237" s="92"/>
      <c r="BF237" s="92"/>
      <c r="BG237" s="92"/>
      <c r="BH237" s="92"/>
      <c r="BI237" s="92"/>
      <c r="BJ237" s="92"/>
      <c r="BK237" s="92"/>
      <c r="BL237" s="92"/>
      <c r="BM237" s="92"/>
      <c r="BN237" s="92"/>
      <c r="BO237" s="92"/>
      <c r="BP237" s="92"/>
      <c r="BQ237" s="92"/>
      <c r="BS237" s="6"/>
      <c r="BT237" s="11"/>
      <c r="BU237" s="6"/>
      <c r="BV237" s="6"/>
    </row>
    <row r="238" spans="1:74" ht="15.75" x14ac:dyDescent="0.25">
      <c r="A238" s="50" t="s">
        <v>449</v>
      </c>
      <c r="B238" s="52"/>
      <c r="C238" s="7" t="s">
        <v>118</v>
      </c>
      <c r="D238" s="7" t="s">
        <v>978</v>
      </c>
      <c r="E238" s="7"/>
      <c r="F238" s="55"/>
      <c r="G238" s="6"/>
      <c r="H238" s="6"/>
      <c r="I238" s="10" t="s">
        <v>110</v>
      </c>
      <c r="J238" s="11" t="s">
        <v>1064</v>
      </c>
      <c r="K238" s="102" t="s">
        <v>512</v>
      </c>
      <c r="L238" s="98"/>
      <c r="M238" s="98">
        <v>1000</v>
      </c>
      <c r="N238" s="60" t="s">
        <v>980</v>
      </c>
      <c r="O238" s="88"/>
      <c r="P238" s="60" t="s">
        <v>1065</v>
      </c>
      <c r="Q238" s="60"/>
      <c r="R238" s="60"/>
      <c r="S238" s="89"/>
      <c r="T238" s="106"/>
      <c r="U238" s="88"/>
      <c r="V238" s="91"/>
      <c r="W238" s="12" t="s">
        <v>515</v>
      </c>
      <c r="X238" s="103"/>
      <c r="Y238" s="6" t="s">
        <v>1063</v>
      </c>
      <c r="Z238" s="64" t="s">
        <v>522</v>
      </c>
      <c r="AA238" s="12">
        <v>19</v>
      </c>
      <c r="AB238" s="6" t="s">
        <v>148</v>
      </c>
      <c r="AC238" s="64">
        <v>3084</v>
      </c>
      <c r="AJ238" s="60"/>
      <c r="AK238" s="67" t="s">
        <v>450</v>
      </c>
      <c r="AN238" s="60"/>
      <c r="AO238" s="60"/>
      <c r="AP238" s="60"/>
      <c r="AQ238" s="60"/>
      <c r="AR238" s="72"/>
      <c r="AS238" s="60"/>
      <c r="AT238" s="7"/>
      <c r="AU238" s="7"/>
      <c r="AV238" s="92"/>
      <c r="AW238" s="93"/>
      <c r="AX238" s="77"/>
      <c r="AY238" s="80"/>
      <c r="AZ238" s="94"/>
      <c r="BA238" s="94"/>
      <c r="BB238" s="80" t="s">
        <v>519</v>
      </c>
      <c r="BC238" s="95"/>
      <c r="BD238" s="92"/>
      <c r="BE238" s="92"/>
      <c r="BF238" s="92"/>
      <c r="BG238" s="92"/>
      <c r="BH238" s="92"/>
      <c r="BI238" s="92"/>
      <c r="BJ238" s="92"/>
      <c r="BK238" s="92"/>
      <c r="BL238" s="92"/>
      <c r="BM238" s="92"/>
      <c r="BN238" s="92"/>
      <c r="BO238" s="92"/>
      <c r="BP238" s="92"/>
      <c r="BQ238" s="92"/>
      <c r="BS238" s="6"/>
      <c r="BT238" s="11"/>
      <c r="BU238" s="6"/>
      <c r="BV238" s="6"/>
    </row>
    <row r="239" spans="1:74" ht="15.75" x14ac:dyDescent="0.25">
      <c r="A239" s="50" t="s">
        <v>449</v>
      </c>
      <c r="B239" s="52"/>
      <c r="C239" s="7" t="s">
        <v>118</v>
      </c>
      <c r="D239" s="7" t="s">
        <v>978</v>
      </c>
      <c r="E239" s="7"/>
      <c r="F239" s="55"/>
      <c r="G239" s="6"/>
      <c r="H239" s="6"/>
      <c r="I239" s="10" t="s">
        <v>110</v>
      </c>
      <c r="J239" s="11" t="s">
        <v>1066</v>
      </c>
      <c r="K239" s="102" t="s">
        <v>512</v>
      </c>
      <c r="L239" s="98"/>
      <c r="M239" s="98">
        <v>1000</v>
      </c>
      <c r="N239" s="60" t="s">
        <v>980</v>
      </c>
      <c r="O239" s="88"/>
      <c r="P239" s="60" t="s">
        <v>1067</v>
      </c>
      <c r="Q239" s="60"/>
      <c r="R239" s="60"/>
      <c r="S239" s="89"/>
      <c r="T239" s="106"/>
      <c r="U239" s="88"/>
      <c r="V239" s="91"/>
      <c r="W239" s="12" t="s">
        <v>515</v>
      </c>
      <c r="X239" s="103"/>
      <c r="Y239" s="6" t="s">
        <v>1068</v>
      </c>
      <c r="Z239" s="64" t="s">
        <v>517</v>
      </c>
      <c r="AA239" s="12">
        <v>20</v>
      </c>
      <c r="AB239" s="6" t="s">
        <v>148</v>
      </c>
      <c r="AC239" s="64">
        <v>3060</v>
      </c>
      <c r="AJ239" s="60"/>
      <c r="AK239" s="67" t="s">
        <v>518</v>
      </c>
      <c r="AN239" s="60"/>
      <c r="AO239" s="60"/>
      <c r="AP239" s="60"/>
      <c r="AQ239" s="60"/>
      <c r="AR239" s="72"/>
      <c r="AS239" s="60"/>
      <c r="AT239" s="7"/>
      <c r="AU239" s="7"/>
      <c r="AV239" s="92"/>
      <c r="AW239" s="93"/>
      <c r="AX239" s="77"/>
      <c r="AY239" s="80"/>
      <c r="AZ239" s="94"/>
      <c r="BA239" s="94"/>
      <c r="BB239" s="80" t="s">
        <v>519</v>
      </c>
      <c r="BC239" s="95"/>
      <c r="BD239" s="92"/>
      <c r="BE239" s="92"/>
      <c r="BF239" s="92"/>
      <c r="BG239" s="92"/>
      <c r="BH239" s="92"/>
      <c r="BI239" s="92"/>
      <c r="BJ239" s="92"/>
      <c r="BK239" s="92"/>
      <c r="BL239" s="92"/>
      <c r="BM239" s="92"/>
      <c r="BN239" s="92"/>
      <c r="BO239" s="92"/>
      <c r="BP239" s="92"/>
      <c r="BQ239" s="92"/>
      <c r="BS239" s="6"/>
      <c r="BT239" s="11"/>
      <c r="BU239" s="6"/>
      <c r="BV239" s="6"/>
    </row>
    <row r="240" spans="1:74" ht="15.75" x14ac:dyDescent="0.25">
      <c r="A240" s="50" t="s">
        <v>449</v>
      </c>
      <c r="B240" s="52"/>
      <c r="C240" s="7" t="s">
        <v>118</v>
      </c>
      <c r="D240" s="7" t="s">
        <v>978</v>
      </c>
      <c r="E240" s="7"/>
      <c r="F240" s="55"/>
      <c r="G240" s="6"/>
      <c r="H240" s="6"/>
      <c r="I240" s="10" t="s">
        <v>110</v>
      </c>
      <c r="J240" s="11" t="s">
        <v>1069</v>
      </c>
      <c r="K240" s="102" t="s">
        <v>512</v>
      </c>
      <c r="L240" s="98"/>
      <c r="M240" s="98">
        <v>1000</v>
      </c>
      <c r="N240" s="60" t="s">
        <v>980</v>
      </c>
      <c r="O240" s="88"/>
      <c r="P240" s="60" t="s">
        <v>1070</v>
      </c>
      <c r="Q240" s="60"/>
      <c r="R240" s="60"/>
      <c r="S240" s="89"/>
      <c r="T240" s="106"/>
      <c r="U240" s="88"/>
      <c r="V240" s="91"/>
      <c r="W240" s="12" t="s">
        <v>515</v>
      </c>
      <c r="X240" s="103"/>
      <c r="Y240" s="6" t="s">
        <v>1068</v>
      </c>
      <c r="Z240" s="64" t="s">
        <v>522</v>
      </c>
      <c r="AA240" s="12">
        <v>20</v>
      </c>
      <c r="AB240" s="6" t="s">
        <v>148</v>
      </c>
      <c r="AC240" s="64">
        <v>3084</v>
      </c>
      <c r="AJ240" s="60"/>
      <c r="AK240" s="67" t="s">
        <v>450</v>
      </c>
      <c r="AN240" s="60"/>
      <c r="AO240" s="60"/>
      <c r="AP240" s="60"/>
      <c r="AQ240" s="60"/>
      <c r="AR240" s="72"/>
      <c r="AS240" s="60"/>
      <c r="AT240" s="7"/>
      <c r="AU240" s="7"/>
      <c r="AV240" s="92"/>
      <c r="AW240" s="93"/>
      <c r="AX240" s="77"/>
      <c r="AY240" s="80"/>
      <c r="AZ240" s="94"/>
      <c r="BA240" s="94"/>
      <c r="BB240" s="80" t="s">
        <v>519</v>
      </c>
      <c r="BC240" s="95"/>
      <c r="BD240" s="92"/>
      <c r="BE240" s="92"/>
      <c r="BF240" s="92"/>
      <c r="BG240" s="92"/>
      <c r="BH240" s="92"/>
      <c r="BI240" s="92"/>
      <c r="BJ240" s="92"/>
      <c r="BK240" s="92"/>
      <c r="BL240" s="92"/>
      <c r="BM240" s="92"/>
      <c r="BN240" s="92"/>
      <c r="BO240" s="92"/>
      <c r="BP240" s="92"/>
      <c r="BQ240" s="92"/>
      <c r="BS240" s="6"/>
      <c r="BT240" s="11"/>
      <c r="BU240" s="6"/>
      <c r="BV240" s="6"/>
    </row>
    <row r="241" spans="1:74" ht="15.75" x14ac:dyDescent="0.25">
      <c r="A241" s="50" t="s">
        <v>449</v>
      </c>
      <c r="B241" s="52"/>
      <c r="C241" s="7" t="s">
        <v>118</v>
      </c>
      <c r="D241" s="7" t="s">
        <v>978</v>
      </c>
      <c r="E241" s="7"/>
      <c r="F241" s="55"/>
      <c r="G241" s="6"/>
      <c r="H241" s="6"/>
      <c r="I241" s="10" t="s">
        <v>110</v>
      </c>
      <c r="J241" s="11" t="s">
        <v>1071</v>
      </c>
      <c r="K241" s="102" t="s">
        <v>512</v>
      </c>
      <c r="L241" s="98"/>
      <c r="M241" s="98">
        <v>1000</v>
      </c>
      <c r="N241" s="60" t="s">
        <v>980</v>
      </c>
      <c r="O241" s="88"/>
      <c r="P241" s="60" t="s">
        <v>1072</v>
      </c>
      <c r="Q241" s="60"/>
      <c r="R241" s="60"/>
      <c r="S241" s="89"/>
      <c r="T241" s="106"/>
      <c r="U241" s="88"/>
      <c r="V241" s="91"/>
      <c r="W241" s="12" t="s">
        <v>515</v>
      </c>
      <c r="X241" s="103"/>
      <c r="Y241" s="6" t="s">
        <v>1073</v>
      </c>
      <c r="Z241" s="64" t="s">
        <v>517</v>
      </c>
      <c r="AA241" s="12">
        <v>21</v>
      </c>
      <c r="AB241" s="6" t="s">
        <v>148</v>
      </c>
      <c r="AC241" s="64">
        <v>3060</v>
      </c>
      <c r="AJ241" s="60"/>
      <c r="AK241" s="67" t="s">
        <v>518</v>
      </c>
      <c r="AN241" s="60"/>
      <c r="AO241" s="60"/>
      <c r="AP241" s="60"/>
      <c r="AQ241" s="60"/>
      <c r="AR241" s="72"/>
      <c r="AS241" s="60"/>
      <c r="AT241" s="7"/>
      <c r="AU241" s="7"/>
      <c r="AV241" s="92"/>
      <c r="AW241" s="93"/>
      <c r="AX241" s="77"/>
      <c r="AY241" s="80"/>
      <c r="AZ241" s="94"/>
      <c r="BA241" s="94"/>
      <c r="BB241" s="80" t="s">
        <v>519</v>
      </c>
      <c r="BC241" s="95"/>
      <c r="BD241" s="92"/>
      <c r="BE241" s="92"/>
      <c r="BF241" s="92"/>
      <c r="BG241" s="92"/>
      <c r="BH241" s="92"/>
      <c r="BI241" s="92"/>
      <c r="BJ241" s="92"/>
      <c r="BK241" s="92"/>
      <c r="BL241" s="92"/>
      <c r="BM241" s="92"/>
      <c r="BN241" s="92"/>
      <c r="BO241" s="92"/>
      <c r="BP241" s="92"/>
      <c r="BQ241" s="92"/>
      <c r="BS241" s="6"/>
      <c r="BT241" s="11"/>
      <c r="BU241" s="6"/>
      <c r="BV241" s="6"/>
    </row>
    <row r="242" spans="1:74" ht="15.75" x14ac:dyDescent="0.25">
      <c r="A242" s="50" t="s">
        <v>449</v>
      </c>
      <c r="B242" s="52"/>
      <c r="C242" s="7" t="s">
        <v>118</v>
      </c>
      <c r="D242" s="7" t="s">
        <v>978</v>
      </c>
      <c r="E242" s="7"/>
      <c r="F242" s="55"/>
      <c r="G242" s="6"/>
      <c r="H242" s="6"/>
      <c r="I242" s="10" t="s">
        <v>110</v>
      </c>
      <c r="J242" s="11" t="s">
        <v>1074</v>
      </c>
      <c r="K242" s="102" t="s">
        <v>512</v>
      </c>
      <c r="L242" s="98"/>
      <c r="M242" s="98">
        <v>1000</v>
      </c>
      <c r="N242" s="60" t="s">
        <v>980</v>
      </c>
      <c r="O242" s="88"/>
      <c r="P242" s="60" t="s">
        <v>1075</v>
      </c>
      <c r="Q242" s="60"/>
      <c r="R242" s="60"/>
      <c r="S242" s="89"/>
      <c r="T242" s="106"/>
      <c r="U242" s="88"/>
      <c r="V242" s="91"/>
      <c r="W242" s="12" t="s">
        <v>515</v>
      </c>
      <c r="X242" s="103"/>
      <c r="Y242" s="6" t="s">
        <v>1073</v>
      </c>
      <c r="Z242" s="64" t="s">
        <v>522</v>
      </c>
      <c r="AA242" s="12">
        <v>21</v>
      </c>
      <c r="AB242" s="6" t="s">
        <v>148</v>
      </c>
      <c r="AC242" s="64">
        <v>3084</v>
      </c>
      <c r="AJ242" s="60"/>
      <c r="AK242" s="67" t="s">
        <v>450</v>
      </c>
      <c r="AN242" s="60"/>
      <c r="AO242" s="60"/>
      <c r="AP242" s="60"/>
      <c r="AQ242" s="60"/>
      <c r="AR242" s="72"/>
      <c r="AS242" s="60"/>
      <c r="AT242" s="7"/>
      <c r="AU242" s="7"/>
      <c r="AV242" s="92"/>
      <c r="AW242" s="93"/>
      <c r="AX242" s="77"/>
      <c r="AY242" s="80"/>
      <c r="AZ242" s="94"/>
      <c r="BA242" s="94"/>
      <c r="BB242" s="80" t="s">
        <v>519</v>
      </c>
      <c r="BC242" s="95"/>
      <c r="BD242" s="92"/>
      <c r="BE242" s="92"/>
      <c r="BF242" s="92"/>
      <c r="BG242" s="92"/>
      <c r="BH242" s="92"/>
      <c r="BI242" s="92"/>
      <c r="BJ242" s="92"/>
      <c r="BK242" s="92"/>
      <c r="BL242" s="92"/>
      <c r="BM242" s="92"/>
      <c r="BN242" s="92"/>
      <c r="BO242" s="92"/>
      <c r="BP242" s="92"/>
      <c r="BQ242" s="92"/>
      <c r="BS242" s="6"/>
      <c r="BT242" s="11"/>
      <c r="BU242" s="6"/>
      <c r="BV242" s="6"/>
    </row>
    <row r="243" spans="1:74" ht="15.75" x14ac:dyDescent="0.25">
      <c r="A243" s="50" t="s">
        <v>449</v>
      </c>
      <c r="B243" s="52"/>
      <c r="C243" s="7" t="s">
        <v>118</v>
      </c>
      <c r="D243" s="7" t="s">
        <v>978</v>
      </c>
      <c r="E243" s="7"/>
      <c r="F243" s="55"/>
      <c r="G243" s="6"/>
      <c r="H243" s="6"/>
      <c r="I243" s="10" t="s">
        <v>110</v>
      </c>
      <c r="J243" s="11" t="s">
        <v>1076</v>
      </c>
      <c r="K243" s="102" t="s">
        <v>512</v>
      </c>
      <c r="L243" s="98"/>
      <c r="M243" s="98">
        <v>1000</v>
      </c>
      <c r="N243" s="60" t="s">
        <v>980</v>
      </c>
      <c r="O243" s="88"/>
      <c r="P243" s="60" t="s">
        <v>1077</v>
      </c>
      <c r="Q243" s="60"/>
      <c r="R243" s="60"/>
      <c r="S243" s="89"/>
      <c r="T243" s="106"/>
      <c r="U243" s="88"/>
      <c r="V243" s="91"/>
      <c r="W243" s="12" t="s">
        <v>515</v>
      </c>
      <c r="X243" s="103"/>
      <c r="Y243" s="6" t="s">
        <v>1078</v>
      </c>
      <c r="Z243" s="64" t="s">
        <v>517</v>
      </c>
      <c r="AA243" s="12">
        <v>22</v>
      </c>
      <c r="AB243" s="6" t="s">
        <v>148</v>
      </c>
      <c r="AC243" s="64">
        <v>3060</v>
      </c>
      <c r="AJ243" s="60"/>
      <c r="AK243" s="67" t="s">
        <v>518</v>
      </c>
      <c r="AN243" s="60"/>
      <c r="AO243" s="60"/>
      <c r="AP243" s="60"/>
      <c r="AQ243" s="60"/>
      <c r="AR243" s="72"/>
      <c r="AS243" s="60"/>
      <c r="AT243" s="7"/>
      <c r="AU243" s="7"/>
      <c r="AV243" s="92"/>
      <c r="AW243" s="93"/>
      <c r="AX243" s="77"/>
      <c r="AY243" s="80"/>
      <c r="AZ243" s="94"/>
      <c r="BA243" s="94"/>
      <c r="BB243" s="80" t="s">
        <v>519</v>
      </c>
      <c r="BC243" s="95"/>
      <c r="BD243" s="92"/>
      <c r="BE243" s="92"/>
      <c r="BF243" s="92"/>
      <c r="BG243" s="92"/>
      <c r="BH243" s="92"/>
      <c r="BI243" s="92"/>
      <c r="BJ243" s="92"/>
      <c r="BK243" s="92"/>
      <c r="BL243" s="92"/>
      <c r="BM243" s="92"/>
      <c r="BN243" s="92"/>
      <c r="BO243" s="92"/>
      <c r="BP243" s="92"/>
      <c r="BQ243" s="92"/>
      <c r="BS243" s="6"/>
      <c r="BT243" s="11"/>
      <c r="BU243" s="6"/>
      <c r="BV243" s="6"/>
    </row>
    <row r="244" spans="1:74" ht="15.75" x14ac:dyDescent="0.25">
      <c r="A244" s="50" t="s">
        <v>449</v>
      </c>
      <c r="B244" s="52"/>
      <c r="C244" s="7" t="s">
        <v>118</v>
      </c>
      <c r="D244" s="7" t="s">
        <v>978</v>
      </c>
      <c r="E244" s="7"/>
      <c r="F244" s="55"/>
      <c r="G244" s="6"/>
      <c r="H244" s="6"/>
      <c r="I244" s="10" t="s">
        <v>110</v>
      </c>
      <c r="J244" s="11" t="s">
        <v>1079</v>
      </c>
      <c r="K244" s="102" t="s">
        <v>512</v>
      </c>
      <c r="L244" s="98"/>
      <c r="M244" s="98">
        <v>1000</v>
      </c>
      <c r="N244" s="60" t="s">
        <v>980</v>
      </c>
      <c r="O244" s="88"/>
      <c r="P244" s="60" t="s">
        <v>1080</v>
      </c>
      <c r="Q244" s="60"/>
      <c r="R244" s="60"/>
      <c r="S244" s="89"/>
      <c r="T244" s="106"/>
      <c r="U244" s="88"/>
      <c r="V244" s="91"/>
      <c r="W244" s="12" t="s">
        <v>515</v>
      </c>
      <c r="X244" s="103"/>
      <c r="Y244" s="6" t="s">
        <v>1078</v>
      </c>
      <c r="Z244" s="64" t="s">
        <v>522</v>
      </c>
      <c r="AA244" s="12">
        <v>22</v>
      </c>
      <c r="AB244" s="6" t="s">
        <v>148</v>
      </c>
      <c r="AC244" s="64">
        <v>3084</v>
      </c>
      <c r="AJ244" s="60"/>
      <c r="AK244" s="67" t="s">
        <v>450</v>
      </c>
      <c r="AN244" s="60"/>
      <c r="AO244" s="60"/>
      <c r="AP244" s="60"/>
      <c r="AQ244" s="60"/>
      <c r="AR244" s="72"/>
      <c r="AS244" s="60"/>
      <c r="AT244" s="7"/>
      <c r="AU244" s="7"/>
      <c r="AV244" s="92"/>
      <c r="AW244" s="93"/>
      <c r="AX244" s="77"/>
      <c r="AY244" s="80"/>
      <c r="AZ244" s="94"/>
      <c r="BA244" s="94"/>
      <c r="BB244" s="80" t="s">
        <v>519</v>
      </c>
      <c r="BC244" s="95"/>
      <c r="BD244" s="92"/>
      <c r="BE244" s="92"/>
      <c r="BF244" s="92"/>
      <c r="BG244" s="92"/>
      <c r="BH244" s="92"/>
      <c r="BI244" s="92"/>
      <c r="BJ244" s="92"/>
      <c r="BK244" s="92"/>
      <c r="BL244" s="92"/>
      <c r="BM244" s="92"/>
      <c r="BN244" s="92"/>
      <c r="BO244" s="92"/>
      <c r="BP244" s="92"/>
      <c r="BQ244" s="92"/>
      <c r="BS244" s="6"/>
      <c r="BT244" s="11"/>
      <c r="BU244" s="6"/>
      <c r="BV244" s="6"/>
    </row>
    <row r="245" spans="1:74" ht="15.75" x14ac:dyDescent="0.25">
      <c r="A245" s="50" t="s">
        <v>449</v>
      </c>
      <c r="B245" s="52"/>
      <c r="C245" s="7" t="s">
        <v>118</v>
      </c>
      <c r="D245" s="7" t="s">
        <v>978</v>
      </c>
      <c r="E245" s="7"/>
      <c r="F245" s="55"/>
      <c r="G245" s="6"/>
      <c r="H245" s="6"/>
      <c r="I245" s="10" t="s">
        <v>110</v>
      </c>
      <c r="J245" s="11" t="s">
        <v>1081</v>
      </c>
      <c r="K245" s="102" t="s">
        <v>512</v>
      </c>
      <c r="L245" s="98"/>
      <c r="M245" s="98">
        <v>1000</v>
      </c>
      <c r="N245" s="60" t="s">
        <v>980</v>
      </c>
      <c r="O245" s="88"/>
      <c r="P245" s="60" t="s">
        <v>1082</v>
      </c>
      <c r="Q245" s="60"/>
      <c r="R245" s="60"/>
      <c r="S245" s="89"/>
      <c r="T245" s="106"/>
      <c r="U245" s="88"/>
      <c r="V245" s="91"/>
      <c r="W245" s="12" t="s">
        <v>515</v>
      </c>
      <c r="X245" s="103"/>
      <c r="Y245" s="6" t="s">
        <v>1083</v>
      </c>
      <c r="Z245" s="64" t="s">
        <v>517</v>
      </c>
      <c r="AA245" s="12">
        <v>23</v>
      </c>
      <c r="AB245" s="6" t="s">
        <v>148</v>
      </c>
      <c r="AC245" s="64">
        <v>3060</v>
      </c>
      <c r="AJ245" s="60"/>
      <c r="AK245" s="67" t="s">
        <v>518</v>
      </c>
      <c r="AN245" s="60"/>
      <c r="AO245" s="60"/>
      <c r="AP245" s="60"/>
      <c r="AQ245" s="60"/>
      <c r="AR245" s="72"/>
      <c r="AS245" s="60"/>
      <c r="AT245" s="7"/>
      <c r="AU245" s="7"/>
      <c r="AV245" s="92"/>
      <c r="AW245" s="93"/>
      <c r="AX245" s="77"/>
      <c r="AY245" s="80"/>
      <c r="AZ245" s="94"/>
      <c r="BA245" s="94"/>
      <c r="BB245" s="80" t="s">
        <v>519</v>
      </c>
      <c r="BC245" s="95"/>
      <c r="BD245" s="92"/>
      <c r="BE245" s="92"/>
      <c r="BF245" s="92"/>
      <c r="BG245" s="92"/>
      <c r="BH245" s="92"/>
      <c r="BI245" s="92"/>
      <c r="BJ245" s="92"/>
      <c r="BK245" s="92"/>
      <c r="BL245" s="92"/>
      <c r="BM245" s="92"/>
      <c r="BN245" s="92"/>
      <c r="BO245" s="92"/>
      <c r="BP245" s="92"/>
      <c r="BQ245" s="92"/>
      <c r="BS245" s="6"/>
      <c r="BT245" s="11"/>
      <c r="BU245" s="6"/>
      <c r="BV245" s="6"/>
    </row>
    <row r="246" spans="1:74" ht="15.75" x14ac:dyDescent="0.25">
      <c r="A246" s="50" t="s">
        <v>449</v>
      </c>
      <c r="B246" s="52"/>
      <c r="C246" s="7" t="s">
        <v>118</v>
      </c>
      <c r="D246" s="7" t="s">
        <v>978</v>
      </c>
      <c r="E246" s="7"/>
      <c r="F246" s="55"/>
      <c r="G246" s="6"/>
      <c r="H246" s="6"/>
      <c r="I246" s="10" t="s">
        <v>110</v>
      </c>
      <c r="J246" s="11" t="s">
        <v>1084</v>
      </c>
      <c r="K246" s="102" t="s">
        <v>512</v>
      </c>
      <c r="L246" s="98"/>
      <c r="M246" s="98">
        <v>1000</v>
      </c>
      <c r="N246" s="60" t="s">
        <v>980</v>
      </c>
      <c r="O246" s="88"/>
      <c r="P246" s="60" t="s">
        <v>1085</v>
      </c>
      <c r="Q246" s="60"/>
      <c r="R246" s="60"/>
      <c r="S246" s="89"/>
      <c r="T246" s="106"/>
      <c r="U246" s="88"/>
      <c r="V246" s="91"/>
      <c r="W246" s="12" t="s">
        <v>515</v>
      </c>
      <c r="X246" s="103"/>
      <c r="Y246" s="6" t="s">
        <v>1083</v>
      </c>
      <c r="Z246" s="64" t="s">
        <v>522</v>
      </c>
      <c r="AA246" s="12">
        <v>23</v>
      </c>
      <c r="AB246" s="6" t="s">
        <v>148</v>
      </c>
      <c r="AC246" s="64">
        <v>3084</v>
      </c>
      <c r="AJ246" s="60"/>
      <c r="AK246" s="67" t="s">
        <v>450</v>
      </c>
      <c r="AN246" s="60"/>
      <c r="AO246" s="60"/>
      <c r="AP246" s="60"/>
      <c r="AQ246" s="60"/>
      <c r="AR246" s="72"/>
      <c r="AS246" s="60"/>
      <c r="AT246" s="7"/>
      <c r="AU246" s="7"/>
      <c r="AV246" s="92"/>
      <c r="AW246" s="93"/>
      <c r="AX246" s="77"/>
      <c r="AY246" s="80"/>
      <c r="AZ246" s="94"/>
      <c r="BA246" s="94"/>
      <c r="BB246" s="80" t="s">
        <v>519</v>
      </c>
      <c r="BC246" s="95"/>
      <c r="BD246" s="92"/>
      <c r="BE246" s="92"/>
      <c r="BF246" s="92"/>
      <c r="BG246" s="92"/>
      <c r="BH246" s="92"/>
      <c r="BI246" s="92"/>
      <c r="BJ246" s="92"/>
      <c r="BK246" s="92"/>
      <c r="BL246" s="92"/>
      <c r="BM246" s="92"/>
      <c r="BN246" s="92"/>
      <c r="BO246" s="92"/>
      <c r="BP246" s="92"/>
      <c r="BQ246" s="92"/>
      <c r="BS246" s="6"/>
      <c r="BT246" s="11"/>
      <c r="BU246" s="6"/>
      <c r="BV246" s="6"/>
    </row>
    <row r="247" spans="1:74" ht="15.75" x14ac:dyDescent="0.25">
      <c r="A247" s="50" t="s">
        <v>449</v>
      </c>
      <c r="B247" s="52"/>
      <c r="C247" s="7" t="s">
        <v>118</v>
      </c>
      <c r="D247" s="7" t="s">
        <v>978</v>
      </c>
      <c r="E247" s="7"/>
      <c r="F247" s="55"/>
      <c r="G247" s="6"/>
      <c r="H247" s="6"/>
      <c r="I247" s="10" t="s">
        <v>110</v>
      </c>
      <c r="J247" s="11" t="s">
        <v>1086</v>
      </c>
      <c r="K247" s="102" t="s">
        <v>512</v>
      </c>
      <c r="L247" s="98"/>
      <c r="M247" s="98">
        <v>1000</v>
      </c>
      <c r="N247" s="60" t="s">
        <v>980</v>
      </c>
      <c r="O247" s="88"/>
      <c r="P247" s="60" t="s">
        <v>1087</v>
      </c>
      <c r="Q247" s="60"/>
      <c r="R247" s="60"/>
      <c r="S247" s="89"/>
      <c r="T247" s="106"/>
      <c r="U247" s="88"/>
      <c r="V247" s="91"/>
      <c r="W247" s="12" t="s">
        <v>515</v>
      </c>
      <c r="X247" s="103"/>
      <c r="Y247" s="6" t="s">
        <v>1088</v>
      </c>
      <c r="Z247" s="64" t="s">
        <v>517</v>
      </c>
      <c r="AA247" s="12">
        <v>24</v>
      </c>
      <c r="AB247" s="6" t="s">
        <v>148</v>
      </c>
      <c r="AC247" s="64">
        <v>3060</v>
      </c>
      <c r="AJ247" s="60"/>
      <c r="AK247" s="67" t="s">
        <v>518</v>
      </c>
      <c r="AN247" s="60"/>
      <c r="AO247" s="60"/>
      <c r="AP247" s="60"/>
      <c r="AQ247" s="60"/>
      <c r="AR247" s="72"/>
      <c r="AS247" s="60"/>
      <c r="AT247" s="7"/>
      <c r="AU247" s="7"/>
      <c r="AV247" s="92"/>
      <c r="AW247" s="93"/>
      <c r="AX247" s="77"/>
      <c r="AY247" s="80"/>
      <c r="AZ247" s="94"/>
      <c r="BA247" s="94"/>
      <c r="BB247" s="80" t="s">
        <v>519</v>
      </c>
      <c r="BC247" s="95"/>
      <c r="BD247" s="92"/>
      <c r="BE247" s="92"/>
      <c r="BF247" s="92"/>
      <c r="BG247" s="92"/>
      <c r="BH247" s="92"/>
      <c r="BI247" s="92"/>
      <c r="BJ247" s="92"/>
      <c r="BK247" s="92"/>
      <c r="BL247" s="92"/>
      <c r="BM247" s="92"/>
      <c r="BN247" s="92"/>
      <c r="BO247" s="92"/>
      <c r="BP247" s="92"/>
      <c r="BQ247" s="92"/>
      <c r="BS247" s="6"/>
      <c r="BT247" s="11"/>
      <c r="BU247" s="6"/>
      <c r="BV247" s="6"/>
    </row>
    <row r="248" spans="1:74" ht="15.75" x14ac:dyDescent="0.25">
      <c r="A248" s="50" t="s">
        <v>449</v>
      </c>
      <c r="B248" s="52"/>
      <c r="C248" s="7" t="s">
        <v>118</v>
      </c>
      <c r="D248" s="7" t="s">
        <v>978</v>
      </c>
      <c r="E248" s="7"/>
      <c r="F248" s="55"/>
      <c r="G248" s="6"/>
      <c r="H248" s="6"/>
      <c r="I248" s="10" t="s">
        <v>110</v>
      </c>
      <c r="J248" s="11" t="s">
        <v>1089</v>
      </c>
      <c r="K248" s="102" t="s">
        <v>512</v>
      </c>
      <c r="L248" s="98"/>
      <c r="M248" s="98">
        <v>1000</v>
      </c>
      <c r="N248" s="60" t="s">
        <v>980</v>
      </c>
      <c r="O248" s="88"/>
      <c r="P248" s="60" t="s">
        <v>1090</v>
      </c>
      <c r="Q248" s="60"/>
      <c r="R248" s="60"/>
      <c r="S248" s="89"/>
      <c r="T248" s="106"/>
      <c r="U248" s="88"/>
      <c r="V248" s="91"/>
      <c r="W248" s="12" t="s">
        <v>515</v>
      </c>
      <c r="X248" s="103"/>
      <c r="Y248" s="6" t="s">
        <v>1088</v>
      </c>
      <c r="Z248" s="64" t="s">
        <v>522</v>
      </c>
      <c r="AA248" s="12">
        <v>24</v>
      </c>
      <c r="AB248" s="6" t="s">
        <v>148</v>
      </c>
      <c r="AC248" s="64">
        <v>3084</v>
      </c>
      <c r="AJ248" s="60"/>
      <c r="AK248" s="67" t="s">
        <v>450</v>
      </c>
      <c r="AN248" s="60"/>
      <c r="AO248" s="60"/>
      <c r="AP248" s="60"/>
      <c r="AQ248" s="60"/>
      <c r="AR248" s="72"/>
      <c r="AS248" s="60"/>
      <c r="AT248" s="7"/>
      <c r="AU248" s="7"/>
      <c r="AV248" s="92"/>
      <c r="AW248" s="93"/>
      <c r="AX248" s="77"/>
      <c r="AY248" s="80"/>
      <c r="AZ248" s="94"/>
      <c r="BA248" s="94"/>
      <c r="BB248" s="80" t="s">
        <v>519</v>
      </c>
      <c r="BC248" s="95"/>
      <c r="BD248" s="92"/>
      <c r="BE248" s="92"/>
      <c r="BF248" s="92"/>
      <c r="BG248" s="92"/>
      <c r="BH248" s="92"/>
      <c r="BI248" s="92"/>
      <c r="BJ248" s="92"/>
      <c r="BK248" s="92"/>
      <c r="BL248" s="92"/>
      <c r="BM248" s="92"/>
      <c r="BN248" s="92"/>
      <c r="BO248" s="92"/>
      <c r="BP248" s="92"/>
      <c r="BQ248" s="92"/>
      <c r="BS248" s="6"/>
      <c r="BT248" s="11"/>
      <c r="BU248" s="6"/>
      <c r="BV248" s="6"/>
    </row>
    <row r="249" spans="1:74" ht="15.75" x14ac:dyDescent="0.25">
      <c r="A249" s="50" t="s">
        <v>449</v>
      </c>
      <c r="B249" s="52"/>
      <c r="C249" s="7" t="s">
        <v>118</v>
      </c>
      <c r="D249" s="7" t="s">
        <v>978</v>
      </c>
      <c r="E249" s="7"/>
      <c r="F249" s="55"/>
      <c r="G249" s="6"/>
      <c r="H249" s="6"/>
      <c r="I249" s="10" t="s">
        <v>110</v>
      </c>
      <c r="J249" s="11" t="s">
        <v>1095</v>
      </c>
      <c r="K249" s="102" t="s">
        <v>512</v>
      </c>
      <c r="L249" s="98"/>
      <c r="M249" s="98">
        <v>1000</v>
      </c>
      <c r="N249" s="60" t="s">
        <v>980</v>
      </c>
      <c r="O249" s="88"/>
      <c r="P249" s="60" t="s">
        <v>1096</v>
      </c>
      <c r="Q249" s="60"/>
      <c r="R249" s="60"/>
      <c r="S249" s="89"/>
      <c r="T249" s="106"/>
      <c r="U249" s="88"/>
      <c r="V249" s="91"/>
      <c r="W249" s="12" t="s">
        <v>515</v>
      </c>
      <c r="X249" s="103"/>
      <c r="Y249" s="6" t="s">
        <v>1097</v>
      </c>
      <c r="Z249" s="64" t="s">
        <v>517</v>
      </c>
      <c r="AA249" s="12">
        <v>27</v>
      </c>
      <c r="AB249" s="6" t="s">
        <v>148</v>
      </c>
      <c r="AC249" s="64">
        <v>3060</v>
      </c>
      <c r="AJ249" s="60"/>
      <c r="AK249" s="67" t="s">
        <v>518</v>
      </c>
      <c r="AN249" s="60"/>
      <c r="AO249" s="60"/>
      <c r="AP249" s="60"/>
      <c r="AQ249" s="60"/>
      <c r="AR249" s="72"/>
      <c r="AS249" s="60"/>
      <c r="AT249" s="7"/>
      <c r="AU249" s="7"/>
      <c r="AV249" s="92"/>
      <c r="AW249" s="93"/>
      <c r="AX249" s="77"/>
      <c r="AY249" s="80"/>
      <c r="AZ249" s="94"/>
      <c r="BA249" s="94"/>
      <c r="BB249" s="80" t="s">
        <v>519</v>
      </c>
      <c r="BC249" s="95"/>
      <c r="BD249" s="92"/>
      <c r="BE249" s="92"/>
      <c r="BF249" s="92"/>
      <c r="BG249" s="92"/>
      <c r="BH249" s="92"/>
      <c r="BI249" s="92"/>
      <c r="BJ249" s="92"/>
      <c r="BK249" s="92"/>
      <c r="BL249" s="92"/>
      <c r="BM249" s="92"/>
      <c r="BN249" s="92"/>
      <c r="BO249" s="92"/>
      <c r="BP249" s="92"/>
      <c r="BQ249" s="92"/>
      <c r="BS249" s="6"/>
      <c r="BT249" s="11"/>
      <c r="BU249" s="6"/>
      <c r="BV249" s="6"/>
    </row>
    <row r="250" spans="1:74" ht="15.75" x14ac:dyDescent="0.25">
      <c r="A250" s="50" t="s">
        <v>449</v>
      </c>
      <c r="B250" s="52"/>
      <c r="C250" s="7" t="s">
        <v>118</v>
      </c>
      <c r="D250" s="7" t="s">
        <v>978</v>
      </c>
      <c r="E250" s="7"/>
      <c r="F250" s="55"/>
      <c r="G250" s="6"/>
      <c r="H250" s="6"/>
      <c r="I250" s="10" t="s">
        <v>110</v>
      </c>
      <c r="J250" s="11" t="s">
        <v>1098</v>
      </c>
      <c r="K250" s="102" t="s">
        <v>512</v>
      </c>
      <c r="L250" s="98"/>
      <c r="M250" s="98">
        <v>1000</v>
      </c>
      <c r="N250" s="60" t="s">
        <v>980</v>
      </c>
      <c r="O250" s="88"/>
      <c r="P250" s="60" t="s">
        <v>1099</v>
      </c>
      <c r="Q250" s="60"/>
      <c r="R250" s="60"/>
      <c r="S250" s="89"/>
      <c r="T250" s="106"/>
      <c r="U250" s="88"/>
      <c r="V250" s="91"/>
      <c r="W250" s="12" t="s">
        <v>515</v>
      </c>
      <c r="X250" s="103"/>
      <c r="Y250" s="6" t="s">
        <v>1097</v>
      </c>
      <c r="Z250" s="64" t="s">
        <v>522</v>
      </c>
      <c r="AA250" s="12">
        <v>27</v>
      </c>
      <c r="AB250" s="6" t="s">
        <v>148</v>
      </c>
      <c r="AC250" s="64">
        <v>3084</v>
      </c>
      <c r="AJ250" s="60"/>
      <c r="AK250" s="67" t="s">
        <v>450</v>
      </c>
      <c r="AN250" s="60"/>
      <c r="AO250" s="60"/>
      <c r="AP250" s="60"/>
      <c r="AQ250" s="60"/>
      <c r="AR250" s="72"/>
      <c r="AS250" s="60"/>
      <c r="AT250" s="7"/>
      <c r="AU250" s="7"/>
      <c r="AV250" s="92"/>
      <c r="AW250" s="93"/>
      <c r="AX250" s="77"/>
      <c r="AY250" s="80"/>
      <c r="AZ250" s="94"/>
      <c r="BA250" s="94"/>
      <c r="BB250" s="80" t="s">
        <v>519</v>
      </c>
      <c r="BC250" s="95"/>
      <c r="BD250" s="92"/>
      <c r="BE250" s="92"/>
      <c r="BF250" s="92"/>
      <c r="BG250" s="92"/>
      <c r="BH250" s="92"/>
      <c r="BI250" s="92"/>
      <c r="BJ250" s="92"/>
      <c r="BK250" s="92"/>
      <c r="BL250" s="92"/>
      <c r="BM250" s="92"/>
      <c r="BN250" s="92"/>
      <c r="BO250" s="92"/>
      <c r="BP250" s="92"/>
      <c r="BQ250" s="92"/>
      <c r="BS250" s="6"/>
      <c r="BT250" s="11"/>
      <c r="BU250" s="6"/>
      <c r="BV250" s="6"/>
    </row>
    <row r="251" spans="1:74" ht="15.75" x14ac:dyDescent="0.25">
      <c r="A251" s="50" t="s">
        <v>449</v>
      </c>
      <c r="B251" s="52"/>
      <c r="C251" s="7" t="s">
        <v>118</v>
      </c>
      <c r="D251" s="7" t="s">
        <v>978</v>
      </c>
      <c r="E251" s="7"/>
      <c r="F251" s="55"/>
      <c r="G251" s="6"/>
      <c r="H251" s="6"/>
      <c r="I251" s="10" t="s">
        <v>110</v>
      </c>
      <c r="J251" s="11" t="s">
        <v>1100</v>
      </c>
      <c r="K251" s="102" t="s">
        <v>512</v>
      </c>
      <c r="L251" s="98"/>
      <c r="M251" s="98">
        <v>1000</v>
      </c>
      <c r="N251" s="60" t="s">
        <v>980</v>
      </c>
      <c r="O251" s="88"/>
      <c r="P251" s="60" t="s">
        <v>1101</v>
      </c>
      <c r="Q251" s="60"/>
      <c r="R251" s="60"/>
      <c r="S251" s="89"/>
      <c r="T251" s="106"/>
      <c r="U251" s="88"/>
      <c r="V251" s="91"/>
      <c r="W251" s="12" t="s">
        <v>515</v>
      </c>
      <c r="X251" s="103"/>
      <c r="Y251" s="6" t="s">
        <v>1102</v>
      </c>
      <c r="Z251" s="64" t="s">
        <v>517</v>
      </c>
      <c r="AA251" s="12">
        <v>28</v>
      </c>
      <c r="AB251" s="6" t="s">
        <v>148</v>
      </c>
      <c r="AC251" s="64">
        <v>3060</v>
      </c>
      <c r="AJ251" s="60"/>
      <c r="AK251" s="67" t="s">
        <v>518</v>
      </c>
      <c r="AN251" s="60"/>
      <c r="AO251" s="60"/>
      <c r="AP251" s="60"/>
      <c r="AQ251" s="60"/>
      <c r="AR251" s="72"/>
      <c r="AS251" s="60"/>
      <c r="AT251" s="7"/>
      <c r="AU251" s="7"/>
      <c r="AV251" s="92"/>
      <c r="AW251" s="93"/>
      <c r="AX251" s="77"/>
      <c r="AY251" s="80"/>
      <c r="AZ251" s="94"/>
      <c r="BA251" s="94"/>
      <c r="BB251" s="80" t="s">
        <v>519</v>
      </c>
      <c r="BC251" s="95"/>
      <c r="BD251" s="92"/>
      <c r="BE251" s="92"/>
      <c r="BF251" s="92"/>
      <c r="BG251" s="92"/>
      <c r="BH251" s="92"/>
      <c r="BI251" s="92"/>
      <c r="BJ251" s="92"/>
      <c r="BK251" s="92"/>
      <c r="BL251" s="92"/>
      <c r="BM251" s="92"/>
      <c r="BN251" s="92"/>
      <c r="BO251" s="92"/>
      <c r="BP251" s="92"/>
      <c r="BQ251" s="92"/>
      <c r="BS251" s="6"/>
      <c r="BT251" s="11"/>
      <c r="BU251" s="6"/>
      <c r="BV251" s="6"/>
    </row>
    <row r="252" spans="1:74" ht="15.75" x14ac:dyDescent="0.25">
      <c r="A252" s="50" t="s">
        <v>449</v>
      </c>
      <c r="B252" s="52"/>
      <c r="C252" s="7" t="s">
        <v>118</v>
      </c>
      <c r="D252" s="7" t="s">
        <v>978</v>
      </c>
      <c r="E252" s="7"/>
      <c r="F252" s="55"/>
      <c r="G252" s="6"/>
      <c r="H252" s="6"/>
      <c r="I252" s="10" t="s">
        <v>110</v>
      </c>
      <c r="J252" s="11" t="s">
        <v>1103</v>
      </c>
      <c r="K252" s="102" t="s">
        <v>512</v>
      </c>
      <c r="L252" s="98"/>
      <c r="M252" s="98">
        <v>1000</v>
      </c>
      <c r="N252" s="60" t="s">
        <v>980</v>
      </c>
      <c r="O252" s="88"/>
      <c r="P252" s="60" t="s">
        <v>1104</v>
      </c>
      <c r="Q252" s="60"/>
      <c r="R252" s="60"/>
      <c r="S252" s="89"/>
      <c r="T252" s="106"/>
      <c r="U252" s="88"/>
      <c r="V252" s="91"/>
      <c r="W252" s="12" t="s">
        <v>515</v>
      </c>
      <c r="X252" s="103"/>
      <c r="Y252" s="6" t="s">
        <v>1102</v>
      </c>
      <c r="Z252" s="64" t="s">
        <v>522</v>
      </c>
      <c r="AA252" s="12">
        <v>28</v>
      </c>
      <c r="AB252" s="6" t="s">
        <v>148</v>
      </c>
      <c r="AC252" s="64">
        <v>3084</v>
      </c>
      <c r="AJ252" s="60"/>
      <c r="AK252" s="67" t="s">
        <v>450</v>
      </c>
      <c r="AN252" s="60"/>
      <c r="AO252" s="60"/>
      <c r="AP252" s="60"/>
      <c r="AQ252" s="60"/>
      <c r="AR252" s="72"/>
      <c r="AS252" s="60"/>
      <c r="AT252" s="7"/>
      <c r="AU252" s="7"/>
      <c r="AV252" s="92"/>
      <c r="AW252" s="93"/>
      <c r="AX252" s="77"/>
      <c r="AY252" s="80"/>
      <c r="AZ252" s="94"/>
      <c r="BA252" s="94"/>
      <c r="BB252" s="80" t="s">
        <v>519</v>
      </c>
      <c r="BC252" s="95"/>
      <c r="BD252" s="92"/>
      <c r="BE252" s="92"/>
      <c r="BF252" s="92"/>
      <c r="BG252" s="92"/>
      <c r="BH252" s="92"/>
      <c r="BI252" s="92"/>
      <c r="BJ252" s="92"/>
      <c r="BK252" s="92"/>
      <c r="BL252" s="92"/>
      <c r="BM252" s="92"/>
      <c r="BN252" s="92"/>
      <c r="BO252" s="92"/>
      <c r="BP252" s="92"/>
      <c r="BQ252" s="92"/>
      <c r="BS252" s="6"/>
      <c r="BT252" s="11"/>
      <c r="BU252" s="6"/>
      <c r="BV252" s="6"/>
    </row>
    <row r="253" spans="1:74" ht="15.75" x14ac:dyDescent="0.25">
      <c r="A253" s="50" t="s">
        <v>449</v>
      </c>
      <c r="B253" s="52"/>
      <c r="C253" s="7" t="s">
        <v>118</v>
      </c>
      <c r="D253" s="7" t="s">
        <v>978</v>
      </c>
      <c r="E253" s="7"/>
      <c r="F253" s="55"/>
      <c r="G253" s="6"/>
      <c r="H253" s="6"/>
      <c r="I253" s="10" t="s">
        <v>110</v>
      </c>
      <c r="J253" s="11" t="s">
        <v>1105</v>
      </c>
      <c r="K253" s="102" t="s">
        <v>512</v>
      </c>
      <c r="L253" s="98"/>
      <c r="M253" s="98">
        <v>1000</v>
      </c>
      <c r="N253" s="60" t="s">
        <v>980</v>
      </c>
      <c r="O253" s="88"/>
      <c r="P253" s="60" t="s">
        <v>1106</v>
      </c>
      <c r="Q253" s="60"/>
      <c r="R253" s="60"/>
      <c r="S253" s="89"/>
      <c r="T253" s="106"/>
      <c r="U253" s="88"/>
      <c r="V253" s="91"/>
      <c r="W253" s="12" t="s">
        <v>515</v>
      </c>
      <c r="X253" s="103"/>
      <c r="Y253" s="6" t="s">
        <v>1107</v>
      </c>
      <c r="Z253" s="64" t="s">
        <v>517</v>
      </c>
      <c r="AA253" s="12">
        <v>29</v>
      </c>
      <c r="AB253" s="6" t="s">
        <v>148</v>
      </c>
      <c r="AC253" s="64">
        <v>3060</v>
      </c>
      <c r="AJ253" s="60"/>
      <c r="AK253" s="67" t="s">
        <v>518</v>
      </c>
      <c r="AN253" s="60"/>
      <c r="AO253" s="60"/>
      <c r="AP253" s="60"/>
      <c r="AQ253" s="60"/>
      <c r="AR253" s="72"/>
      <c r="AS253" s="60"/>
      <c r="AT253" s="7"/>
      <c r="AU253" s="7"/>
      <c r="AV253" s="92"/>
      <c r="AW253" s="93"/>
      <c r="AX253" s="77"/>
      <c r="AY253" s="80"/>
      <c r="AZ253" s="94"/>
      <c r="BA253" s="94"/>
      <c r="BB253" s="80" t="s">
        <v>519</v>
      </c>
      <c r="BC253" s="95"/>
      <c r="BD253" s="92"/>
      <c r="BE253" s="92"/>
      <c r="BF253" s="92"/>
      <c r="BG253" s="92"/>
      <c r="BH253" s="92"/>
      <c r="BI253" s="92"/>
      <c r="BJ253" s="92"/>
      <c r="BK253" s="92"/>
      <c r="BL253" s="92"/>
      <c r="BM253" s="92"/>
      <c r="BN253" s="92"/>
      <c r="BO253" s="92"/>
      <c r="BP253" s="92"/>
      <c r="BQ253" s="92"/>
      <c r="BS253" s="6"/>
      <c r="BT253" s="11"/>
      <c r="BU253" s="6"/>
      <c r="BV253" s="6"/>
    </row>
    <row r="254" spans="1:74" ht="15.75" x14ac:dyDescent="0.25">
      <c r="A254" s="50" t="s">
        <v>449</v>
      </c>
      <c r="B254" s="52"/>
      <c r="C254" s="7" t="s">
        <v>118</v>
      </c>
      <c r="D254" s="7" t="s">
        <v>978</v>
      </c>
      <c r="E254" s="7"/>
      <c r="F254" s="55"/>
      <c r="G254" s="6"/>
      <c r="H254" s="6"/>
      <c r="I254" s="10" t="s">
        <v>110</v>
      </c>
      <c r="J254" s="11" t="s">
        <v>1108</v>
      </c>
      <c r="K254" s="102" t="s">
        <v>512</v>
      </c>
      <c r="L254" s="98"/>
      <c r="M254" s="98">
        <v>1000</v>
      </c>
      <c r="N254" s="60" t="s">
        <v>980</v>
      </c>
      <c r="O254" s="88"/>
      <c r="P254" s="60" t="s">
        <v>1109</v>
      </c>
      <c r="Q254" s="60"/>
      <c r="R254" s="60"/>
      <c r="S254" s="89"/>
      <c r="T254" s="106"/>
      <c r="U254" s="88"/>
      <c r="V254" s="91"/>
      <c r="W254" s="12" t="s">
        <v>515</v>
      </c>
      <c r="X254" s="103"/>
      <c r="Y254" s="6" t="s">
        <v>1107</v>
      </c>
      <c r="Z254" s="64" t="s">
        <v>522</v>
      </c>
      <c r="AA254" s="12">
        <v>29</v>
      </c>
      <c r="AB254" s="6" t="s">
        <v>148</v>
      </c>
      <c r="AC254" s="64">
        <v>3084</v>
      </c>
      <c r="AJ254" s="60"/>
      <c r="AK254" s="67" t="s">
        <v>450</v>
      </c>
      <c r="AN254" s="60"/>
      <c r="AO254" s="60"/>
      <c r="AP254" s="60"/>
      <c r="AQ254" s="60"/>
      <c r="AR254" s="72"/>
      <c r="AS254" s="60"/>
      <c r="AT254" s="7"/>
      <c r="AU254" s="7"/>
      <c r="AV254" s="92"/>
      <c r="AW254" s="93"/>
      <c r="AX254" s="77"/>
      <c r="AY254" s="80"/>
      <c r="AZ254" s="94"/>
      <c r="BA254" s="94"/>
      <c r="BB254" s="80" t="s">
        <v>519</v>
      </c>
      <c r="BC254" s="95"/>
      <c r="BD254" s="92"/>
      <c r="BE254" s="92"/>
      <c r="BF254" s="92"/>
      <c r="BG254" s="92"/>
      <c r="BH254" s="92"/>
      <c r="BI254" s="92"/>
      <c r="BJ254" s="92"/>
      <c r="BK254" s="92"/>
      <c r="BL254" s="92"/>
      <c r="BM254" s="92"/>
      <c r="BN254" s="92"/>
      <c r="BO254" s="92"/>
      <c r="BP254" s="92"/>
      <c r="BQ254" s="92"/>
      <c r="BS254" s="6"/>
      <c r="BT254" s="11"/>
      <c r="BU254" s="6"/>
      <c r="BV254" s="6"/>
    </row>
    <row r="255" spans="1:74" ht="15.75" x14ac:dyDescent="0.25">
      <c r="A255" s="50" t="s">
        <v>449</v>
      </c>
      <c r="B255" s="52"/>
      <c r="C255" s="7" t="s">
        <v>118</v>
      </c>
      <c r="D255" s="7" t="s">
        <v>978</v>
      </c>
      <c r="E255" s="7"/>
      <c r="F255" s="55"/>
      <c r="G255" s="6"/>
      <c r="H255" s="6"/>
      <c r="I255" s="10" t="s">
        <v>110</v>
      </c>
      <c r="J255" s="11" t="s">
        <v>1110</v>
      </c>
      <c r="K255" s="102" t="s">
        <v>512</v>
      </c>
      <c r="L255" s="98"/>
      <c r="M255" s="98">
        <v>1000</v>
      </c>
      <c r="N255" s="60" t="s">
        <v>980</v>
      </c>
      <c r="O255" s="88"/>
      <c r="P255" s="60" t="s">
        <v>1111</v>
      </c>
      <c r="Q255" s="60"/>
      <c r="R255" s="60"/>
      <c r="S255" s="89"/>
      <c r="T255" s="106"/>
      <c r="U255" s="88"/>
      <c r="V255" s="91"/>
      <c r="W255" s="12" t="s">
        <v>515</v>
      </c>
      <c r="X255" s="103"/>
      <c r="Y255" s="6" t="s">
        <v>1112</v>
      </c>
      <c r="Z255" s="64" t="s">
        <v>517</v>
      </c>
      <c r="AA255" s="12">
        <v>30</v>
      </c>
      <c r="AB255" s="6" t="s">
        <v>148</v>
      </c>
      <c r="AC255" s="64">
        <v>3060</v>
      </c>
      <c r="AJ255" s="60"/>
      <c r="AK255" s="67" t="s">
        <v>518</v>
      </c>
      <c r="AN255" s="60"/>
      <c r="AO255" s="60"/>
      <c r="AP255" s="60"/>
      <c r="AQ255" s="60"/>
      <c r="AR255" s="72"/>
      <c r="AS255" s="60"/>
      <c r="AT255" s="7"/>
      <c r="AU255" s="7"/>
      <c r="AV255" s="92"/>
      <c r="AW255" s="93"/>
      <c r="AX255" s="77"/>
      <c r="AY255" s="80"/>
      <c r="AZ255" s="94"/>
      <c r="BA255" s="94"/>
      <c r="BB255" s="80" t="s">
        <v>519</v>
      </c>
      <c r="BC255" s="95"/>
      <c r="BD255" s="92"/>
      <c r="BE255" s="92"/>
      <c r="BF255" s="92"/>
      <c r="BG255" s="92"/>
      <c r="BH255" s="92"/>
      <c r="BI255" s="92"/>
      <c r="BJ255" s="92"/>
      <c r="BK255" s="92"/>
      <c r="BL255" s="92"/>
      <c r="BM255" s="92"/>
      <c r="BN255" s="92"/>
      <c r="BO255" s="92"/>
      <c r="BP255" s="92"/>
      <c r="BQ255" s="92"/>
      <c r="BS255" s="6"/>
      <c r="BT255" s="11"/>
      <c r="BU255" s="6"/>
      <c r="BV255" s="6"/>
    </row>
    <row r="256" spans="1:74" ht="15.75" x14ac:dyDescent="0.25">
      <c r="A256" s="50" t="s">
        <v>449</v>
      </c>
      <c r="B256" s="52"/>
      <c r="C256" s="7" t="s">
        <v>118</v>
      </c>
      <c r="D256" s="7" t="s">
        <v>978</v>
      </c>
      <c r="E256" s="7"/>
      <c r="F256" s="55"/>
      <c r="G256" s="6"/>
      <c r="H256" s="6"/>
      <c r="I256" s="10" t="s">
        <v>110</v>
      </c>
      <c r="J256" s="11" t="s">
        <v>1113</v>
      </c>
      <c r="K256" s="102" t="s">
        <v>512</v>
      </c>
      <c r="L256" s="98"/>
      <c r="M256" s="98">
        <v>1000</v>
      </c>
      <c r="N256" s="60" t="s">
        <v>980</v>
      </c>
      <c r="O256" s="88"/>
      <c r="P256" s="60" t="s">
        <v>1114</v>
      </c>
      <c r="Q256" s="60"/>
      <c r="R256" s="60"/>
      <c r="S256" s="89"/>
      <c r="T256" s="106"/>
      <c r="U256" s="88"/>
      <c r="V256" s="91"/>
      <c r="W256" s="12" t="s">
        <v>515</v>
      </c>
      <c r="X256" s="103"/>
      <c r="Y256" s="6" t="s">
        <v>1112</v>
      </c>
      <c r="Z256" s="64" t="s">
        <v>522</v>
      </c>
      <c r="AA256" s="12">
        <v>30</v>
      </c>
      <c r="AB256" s="6" t="s">
        <v>148</v>
      </c>
      <c r="AC256" s="64">
        <v>3084</v>
      </c>
      <c r="AJ256" s="60"/>
      <c r="AK256" s="67" t="s">
        <v>450</v>
      </c>
      <c r="AN256" s="60"/>
      <c r="AO256" s="60"/>
      <c r="AP256" s="60"/>
      <c r="AQ256" s="60"/>
      <c r="AR256" s="72"/>
      <c r="AS256" s="60"/>
      <c r="AT256" s="7"/>
      <c r="AU256" s="7"/>
      <c r="AV256" s="92"/>
      <c r="AW256" s="93"/>
      <c r="AX256" s="77"/>
      <c r="AY256" s="80"/>
      <c r="AZ256" s="94"/>
      <c r="BA256" s="94"/>
      <c r="BB256" s="80" t="s">
        <v>519</v>
      </c>
      <c r="BC256" s="95"/>
      <c r="BD256" s="92"/>
      <c r="BE256" s="92"/>
      <c r="BF256" s="92"/>
      <c r="BG256" s="92"/>
      <c r="BH256" s="92"/>
      <c r="BI256" s="92"/>
      <c r="BJ256" s="92"/>
      <c r="BK256" s="92"/>
      <c r="BL256" s="92"/>
      <c r="BM256" s="92"/>
      <c r="BN256" s="92"/>
      <c r="BO256" s="92"/>
      <c r="BP256" s="92"/>
      <c r="BQ256" s="92"/>
      <c r="BS256" s="6"/>
      <c r="BT256" s="11"/>
      <c r="BU256" s="6"/>
      <c r="BV256" s="6"/>
    </row>
    <row r="257" spans="1:74" ht="15.75" x14ac:dyDescent="0.25">
      <c r="A257" s="50" t="s">
        <v>449</v>
      </c>
      <c r="B257" s="52"/>
      <c r="C257" s="7" t="s">
        <v>118</v>
      </c>
      <c r="D257" s="7" t="s">
        <v>978</v>
      </c>
      <c r="E257" s="7"/>
      <c r="F257" s="55"/>
      <c r="G257" s="6"/>
      <c r="H257" s="6"/>
      <c r="I257" s="10" t="s">
        <v>110</v>
      </c>
      <c r="J257" s="11" t="s">
        <v>1115</v>
      </c>
      <c r="K257" s="102" t="s">
        <v>512</v>
      </c>
      <c r="L257" s="98"/>
      <c r="M257" s="98">
        <v>1000</v>
      </c>
      <c r="N257" s="60" t="s">
        <v>980</v>
      </c>
      <c r="O257" s="88"/>
      <c r="P257" s="60" t="s">
        <v>1116</v>
      </c>
      <c r="Q257" s="60"/>
      <c r="R257" s="60"/>
      <c r="S257" s="89"/>
      <c r="T257" s="106"/>
      <c r="U257" s="88"/>
      <c r="V257" s="91"/>
      <c r="W257" s="12" t="s">
        <v>515</v>
      </c>
      <c r="X257" s="103"/>
      <c r="Y257" s="6" t="s">
        <v>1117</v>
      </c>
      <c r="Z257" s="64" t="s">
        <v>517</v>
      </c>
      <c r="AA257" s="12">
        <v>31</v>
      </c>
      <c r="AB257" s="6" t="s">
        <v>148</v>
      </c>
      <c r="AC257" s="64">
        <v>3060</v>
      </c>
      <c r="AJ257" s="60"/>
      <c r="AK257" s="67" t="s">
        <v>518</v>
      </c>
      <c r="AN257" s="60"/>
      <c r="AO257" s="60"/>
      <c r="AP257" s="60"/>
      <c r="AQ257" s="60"/>
      <c r="AR257" s="72"/>
      <c r="AS257" s="60"/>
      <c r="AT257" s="7"/>
      <c r="AU257" s="7"/>
      <c r="AV257" s="92"/>
      <c r="AW257" s="93"/>
      <c r="AX257" s="77"/>
      <c r="AY257" s="80"/>
      <c r="AZ257" s="94"/>
      <c r="BA257" s="94"/>
      <c r="BB257" s="80" t="s">
        <v>519</v>
      </c>
      <c r="BC257" s="95"/>
      <c r="BD257" s="92"/>
      <c r="BE257" s="92"/>
      <c r="BF257" s="92"/>
      <c r="BG257" s="92"/>
      <c r="BH257" s="92"/>
      <c r="BI257" s="92"/>
      <c r="BJ257" s="92"/>
      <c r="BK257" s="92"/>
      <c r="BL257" s="92"/>
      <c r="BM257" s="92"/>
      <c r="BN257" s="92"/>
      <c r="BO257" s="92"/>
      <c r="BP257" s="92"/>
      <c r="BQ257" s="92"/>
      <c r="BS257" s="6"/>
      <c r="BT257" s="11"/>
      <c r="BU257" s="6"/>
      <c r="BV257" s="6"/>
    </row>
    <row r="258" spans="1:74" ht="15.75" x14ac:dyDescent="0.25">
      <c r="A258" s="50" t="s">
        <v>449</v>
      </c>
      <c r="B258" s="52"/>
      <c r="C258" s="7" t="s">
        <v>118</v>
      </c>
      <c r="D258" s="7" t="s">
        <v>978</v>
      </c>
      <c r="E258" s="7"/>
      <c r="F258" s="55"/>
      <c r="G258" s="6"/>
      <c r="H258" s="6"/>
      <c r="I258" s="10" t="s">
        <v>110</v>
      </c>
      <c r="J258" s="11" t="s">
        <v>1118</v>
      </c>
      <c r="K258" s="102" t="s">
        <v>512</v>
      </c>
      <c r="L258" s="98"/>
      <c r="M258" s="98">
        <v>1000</v>
      </c>
      <c r="N258" s="60" t="s">
        <v>980</v>
      </c>
      <c r="O258" s="88"/>
      <c r="P258" s="60" t="s">
        <v>1119</v>
      </c>
      <c r="Q258" s="60"/>
      <c r="R258" s="60"/>
      <c r="S258" s="89"/>
      <c r="T258" s="106"/>
      <c r="U258" s="88"/>
      <c r="V258" s="91"/>
      <c r="W258" s="12" t="s">
        <v>515</v>
      </c>
      <c r="X258" s="103"/>
      <c r="Y258" s="6" t="s">
        <v>1117</v>
      </c>
      <c r="Z258" s="64" t="s">
        <v>522</v>
      </c>
      <c r="AA258" s="12">
        <v>31</v>
      </c>
      <c r="AB258" s="6" t="s">
        <v>148</v>
      </c>
      <c r="AC258" s="64">
        <v>3084</v>
      </c>
      <c r="AJ258" s="60"/>
      <c r="AK258" s="67" t="s">
        <v>450</v>
      </c>
      <c r="AN258" s="60"/>
      <c r="AO258" s="60"/>
      <c r="AP258" s="60"/>
      <c r="AQ258" s="60"/>
      <c r="AR258" s="72"/>
      <c r="AS258" s="60"/>
      <c r="AT258" s="7"/>
      <c r="AU258" s="7"/>
      <c r="AV258" s="92"/>
      <c r="AW258" s="93"/>
      <c r="AX258" s="77"/>
      <c r="AY258" s="80"/>
      <c r="AZ258" s="94"/>
      <c r="BA258" s="94"/>
      <c r="BB258" s="80" t="s">
        <v>519</v>
      </c>
      <c r="BC258" s="95"/>
      <c r="BD258" s="92"/>
      <c r="BE258" s="92"/>
      <c r="BF258" s="92"/>
      <c r="BG258" s="92"/>
      <c r="BH258" s="92"/>
      <c r="BI258" s="92"/>
      <c r="BJ258" s="92"/>
      <c r="BK258" s="92"/>
      <c r="BL258" s="92"/>
      <c r="BM258" s="92"/>
      <c r="BN258" s="92"/>
      <c r="BO258" s="92"/>
      <c r="BP258" s="92"/>
      <c r="BQ258" s="92"/>
      <c r="BS258" s="6"/>
      <c r="BT258" s="11"/>
      <c r="BU258" s="6"/>
      <c r="BV258" s="6"/>
    </row>
    <row r="259" spans="1:74" ht="15.75" x14ac:dyDescent="0.25">
      <c r="A259" s="50" t="s">
        <v>449</v>
      </c>
      <c r="B259" s="52"/>
      <c r="C259" s="7" t="s">
        <v>118</v>
      </c>
      <c r="D259" s="7" t="s">
        <v>1120</v>
      </c>
      <c r="E259" s="7"/>
      <c r="F259" s="55"/>
      <c r="G259" s="6"/>
      <c r="H259" s="6"/>
      <c r="I259" s="10" t="s">
        <v>110</v>
      </c>
      <c r="J259" s="11" t="s">
        <v>979</v>
      </c>
      <c r="K259" s="102" t="s">
        <v>377</v>
      </c>
      <c r="L259" s="98"/>
      <c r="M259" s="98">
        <v>1000</v>
      </c>
      <c r="N259" s="60" t="s">
        <v>1121</v>
      </c>
      <c r="O259" s="88"/>
      <c r="P259" s="60" t="s">
        <v>1122</v>
      </c>
      <c r="Q259" s="60"/>
      <c r="R259" s="60"/>
      <c r="S259" s="89"/>
      <c r="T259" s="106"/>
      <c r="U259" s="88"/>
      <c r="V259" s="91"/>
      <c r="W259" s="12" t="s">
        <v>515</v>
      </c>
      <c r="X259" s="103"/>
      <c r="Y259" s="6" t="s">
        <v>1123</v>
      </c>
      <c r="Z259" s="64" t="s">
        <v>517</v>
      </c>
      <c r="AA259" s="12">
        <v>1</v>
      </c>
      <c r="AB259" s="6" t="s">
        <v>148</v>
      </c>
      <c r="AC259" s="64">
        <v>3060</v>
      </c>
      <c r="AJ259" s="60"/>
      <c r="AK259" s="67" t="s">
        <v>518</v>
      </c>
      <c r="AN259" s="60"/>
      <c r="AO259" s="60"/>
      <c r="AP259" s="60"/>
      <c r="AQ259" s="60"/>
      <c r="AR259" s="72"/>
      <c r="AS259" s="60"/>
      <c r="AT259" s="7"/>
      <c r="AU259" s="7"/>
      <c r="AV259" s="92"/>
      <c r="AW259" s="93"/>
      <c r="AX259" s="77"/>
      <c r="AY259" s="80"/>
      <c r="AZ259" s="94"/>
      <c r="BA259" s="94"/>
      <c r="BB259" s="80" t="s">
        <v>519</v>
      </c>
      <c r="BC259" s="95"/>
      <c r="BD259" s="92"/>
      <c r="BE259" s="92"/>
      <c r="BF259" s="92"/>
      <c r="BG259" s="92"/>
      <c r="BH259" s="92"/>
      <c r="BI259" s="92"/>
      <c r="BJ259" s="92"/>
      <c r="BK259" s="92"/>
      <c r="BL259" s="92"/>
      <c r="BM259" s="92"/>
      <c r="BN259" s="92"/>
      <c r="BO259" s="92"/>
      <c r="BP259" s="92"/>
      <c r="BQ259" s="92"/>
      <c r="BS259" s="6"/>
      <c r="BT259" s="11"/>
      <c r="BU259" s="6"/>
      <c r="BV259" s="6"/>
    </row>
    <row r="260" spans="1:74" ht="15.75" x14ac:dyDescent="0.25">
      <c r="A260" s="50" t="s">
        <v>449</v>
      </c>
      <c r="B260" s="52"/>
      <c r="C260" s="7" t="s">
        <v>118</v>
      </c>
      <c r="D260" s="7" t="s">
        <v>1120</v>
      </c>
      <c r="E260" s="7"/>
      <c r="F260" s="55"/>
      <c r="G260" s="6"/>
      <c r="H260" s="6"/>
      <c r="I260" s="10" t="s">
        <v>110</v>
      </c>
      <c r="J260" s="11" t="s">
        <v>981</v>
      </c>
      <c r="K260" s="102" t="s">
        <v>377</v>
      </c>
      <c r="L260" s="98"/>
      <c r="M260" s="98">
        <v>1000</v>
      </c>
      <c r="N260" s="60" t="s">
        <v>1121</v>
      </c>
      <c r="O260" s="88"/>
      <c r="P260" s="60" t="s">
        <v>1124</v>
      </c>
      <c r="Q260" s="60"/>
      <c r="R260" s="60"/>
      <c r="S260" s="89"/>
      <c r="T260" s="106"/>
      <c r="U260" s="88"/>
      <c r="V260" s="91"/>
      <c r="W260" s="12" t="s">
        <v>515</v>
      </c>
      <c r="X260" s="103"/>
      <c r="Y260" s="6" t="s">
        <v>1123</v>
      </c>
      <c r="Z260" s="64" t="s">
        <v>522</v>
      </c>
      <c r="AA260" s="12">
        <v>1</v>
      </c>
      <c r="AB260" s="6" t="s">
        <v>148</v>
      </c>
      <c r="AC260" s="64">
        <v>3084</v>
      </c>
      <c r="AJ260" s="60"/>
      <c r="AK260" s="67" t="s">
        <v>450</v>
      </c>
      <c r="AN260" s="60"/>
      <c r="AO260" s="60"/>
      <c r="AP260" s="60"/>
      <c r="AQ260" s="60"/>
      <c r="AR260" s="72"/>
      <c r="AS260" s="60"/>
      <c r="AT260" s="7"/>
      <c r="AU260" s="7"/>
      <c r="AV260" s="92"/>
      <c r="AW260" s="93"/>
      <c r="AX260" s="77"/>
      <c r="AY260" s="80"/>
      <c r="AZ260" s="94"/>
      <c r="BA260" s="94"/>
      <c r="BB260" s="80" t="s">
        <v>519</v>
      </c>
      <c r="BC260" s="95"/>
      <c r="BD260" s="92"/>
      <c r="BE260" s="92"/>
      <c r="BF260" s="92"/>
      <c r="BG260" s="92"/>
      <c r="BH260" s="92"/>
      <c r="BI260" s="92"/>
      <c r="BJ260" s="92"/>
      <c r="BK260" s="92"/>
      <c r="BL260" s="92"/>
      <c r="BM260" s="92"/>
      <c r="BN260" s="92"/>
      <c r="BO260" s="92"/>
      <c r="BP260" s="92"/>
      <c r="BQ260" s="92"/>
      <c r="BS260" s="6"/>
      <c r="BT260" s="11"/>
      <c r="BU260" s="6"/>
      <c r="BV260" s="6"/>
    </row>
    <row r="261" spans="1:74" ht="15.75" x14ac:dyDescent="0.25">
      <c r="A261" s="50" t="s">
        <v>449</v>
      </c>
      <c r="B261" s="52"/>
      <c r="C261" s="7" t="s">
        <v>118</v>
      </c>
      <c r="D261" s="7" t="s">
        <v>1120</v>
      </c>
      <c r="E261" s="7"/>
      <c r="F261" s="55"/>
      <c r="G261" s="6"/>
      <c r="H261" s="6"/>
      <c r="I261" s="10" t="s">
        <v>110</v>
      </c>
      <c r="J261" s="11" t="s">
        <v>982</v>
      </c>
      <c r="K261" s="102" t="s">
        <v>377</v>
      </c>
      <c r="L261" s="98"/>
      <c r="M261" s="98">
        <v>1000</v>
      </c>
      <c r="N261" s="60" t="s">
        <v>1121</v>
      </c>
      <c r="O261" s="88"/>
      <c r="P261" s="60" t="s">
        <v>1125</v>
      </c>
      <c r="Q261" s="60"/>
      <c r="R261" s="60"/>
      <c r="S261" s="89"/>
      <c r="T261" s="106"/>
      <c r="U261" s="88"/>
      <c r="V261" s="91"/>
      <c r="W261" s="12" t="s">
        <v>515</v>
      </c>
      <c r="X261" s="103"/>
      <c r="Y261" s="6" t="s">
        <v>1126</v>
      </c>
      <c r="Z261" s="64" t="s">
        <v>517</v>
      </c>
      <c r="AA261" s="12">
        <v>2</v>
      </c>
      <c r="AB261" s="6" t="s">
        <v>148</v>
      </c>
      <c r="AC261" s="64">
        <v>3060</v>
      </c>
      <c r="AJ261" s="60"/>
      <c r="AK261" s="67" t="s">
        <v>518</v>
      </c>
      <c r="AN261" s="60"/>
      <c r="AO261" s="60"/>
      <c r="AP261" s="60"/>
      <c r="AQ261" s="60"/>
      <c r="AR261" s="72"/>
      <c r="AS261" s="60"/>
      <c r="AT261" s="7"/>
      <c r="AU261" s="7"/>
      <c r="AV261" s="92"/>
      <c r="AW261" s="93"/>
      <c r="AX261" s="77"/>
      <c r="AY261" s="80"/>
      <c r="AZ261" s="94"/>
      <c r="BA261" s="94"/>
      <c r="BB261" s="80" t="s">
        <v>519</v>
      </c>
      <c r="BC261" s="95"/>
      <c r="BD261" s="92"/>
      <c r="BE261" s="92"/>
      <c r="BF261" s="92"/>
      <c r="BG261" s="92"/>
      <c r="BH261" s="92"/>
      <c r="BI261" s="92"/>
      <c r="BJ261" s="92"/>
      <c r="BK261" s="92"/>
      <c r="BL261" s="92"/>
      <c r="BM261" s="92"/>
      <c r="BN261" s="92"/>
      <c r="BO261" s="92"/>
      <c r="BP261" s="92"/>
      <c r="BQ261" s="92"/>
      <c r="BS261" s="6"/>
      <c r="BT261" s="11"/>
      <c r="BU261" s="6"/>
      <c r="BV261" s="6"/>
    </row>
    <row r="262" spans="1:74" ht="15.75" x14ac:dyDescent="0.25">
      <c r="A262" s="50" t="s">
        <v>449</v>
      </c>
      <c r="B262" s="52"/>
      <c r="C262" s="7" t="s">
        <v>118</v>
      </c>
      <c r="D262" s="7" t="s">
        <v>1120</v>
      </c>
      <c r="E262" s="7"/>
      <c r="F262" s="55"/>
      <c r="G262" s="6"/>
      <c r="H262" s="6"/>
      <c r="I262" s="10" t="s">
        <v>110</v>
      </c>
      <c r="J262" s="11" t="s">
        <v>983</v>
      </c>
      <c r="K262" s="102" t="s">
        <v>377</v>
      </c>
      <c r="L262" s="98"/>
      <c r="M262" s="98">
        <v>1000</v>
      </c>
      <c r="N262" s="60" t="s">
        <v>1121</v>
      </c>
      <c r="O262" s="88"/>
      <c r="P262" s="60" t="s">
        <v>1127</v>
      </c>
      <c r="Q262" s="60"/>
      <c r="R262" s="60"/>
      <c r="S262" s="89"/>
      <c r="T262" s="106"/>
      <c r="U262" s="88"/>
      <c r="V262" s="91"/>
      <c r="W262" s="12" t="s">
        <v>515</v>
      </c>
      <c r="X262" s="103"/>
      <c r="Y262" s="6" t="s">
        <v>1126</v>
      </c>
      <c r="Z262" s="64" t="s">
        <v>522</v>
      </c>
      <c r="AA262" s="12">
        <v>2</v>
      </c>
      <c r="AB262" s="6" t="s">
        <v>148</v>
      </c>
      <c r="AC262" s="64">
        <v>3084</v>
      </c>
      <c r="AJ262" s="60"/>
      <c r="AK262" s="67" t="s">
        <v>450</v>
      </c>
      <c r="AN262" s="60"/>
      <c r="AO262" s="60"/>
      <c r="AP262" s="60"/>
      <c r="AQ262" s="60"/>
      <c r="AR262" s="72"/>
      <c r="AS262" s="60"/>
      <c r="AT262" s="7"/>
      <c r="AU262" s="7"/>
      <c r="AV262" s="92"/>
      <c r="AW262" s="93"/>
      <c r="AX262" s="77"/>
      <c r="AY262" s="80"/>
      <c r="AZ262" s="94"/>
      <c r="BA262" s="94"/>
      <c r="BB262" s="80" t="s">
        <v>519</v>
      </c>
      <c r="BC262" s="95"/>
      <c r="BD262" s="92"/>
      <c r="BE262" s="92"/>
      <c r="BF262" s="92"/>
      <c r="BG262" s="92"/>
      <c r="BH262" s="92"/>
      <c r="BI262" s="92"/>
      <c r="BJ262" s="92"/>
      <c r="BK262" s="92"/>
      <c r="BL262" s="92"/>
      <c r="BM262" s="92"/>
      <c r="BN262" s="92"/>
      <c r="BO262" s="92"/>
      <c r="BP262" s="92"/>
      <c r="BQ262" s="92"/>
      <c r="BS262" s="6"/>
      <c r="BT262" s="11"/>
      <c r="BU262" s="6"/>
      <c r="BV262" s="6"/>
    </row>
    <row r="263" spans="1:74" ht="15.75" x14ac:dyDescent="0.25">
      <c r="A263" s="50" t="s">
        <v>449</v>
      </c>
      <c r="B263" s="52"/>
      <c r="C263" s="7" t="s">
        <v>118</v>
      </c>
      <c r="D263" s="7" t="s">
        <v>1120</v>
      </c>
      <c r="E263" s="7"/>
      <c r="F263" s="55"/>
      <c r="G263" s="6"/>
      <c r="H263" s="6"/>
      <c r="I263" s="10" t="s">
        <v>110</v>
      </c>
      <c r="J263" s="11" t="s">
        <v>984</v>
      </c>
      <c r="K263" s="102" t="s">
        <v>377</v>
      </c>
      <c r="L263" s="98"/>
      <c r="M263" s="98">
        <v>1000</v>
      </c>
      <c r="N263" s="60" t="s">
        <v>1121</v>
      </c>
      <c r="O263" s="88"/>
      <c r="P263" s="60" t="s">
        <v>1128</v>
      </c>
      <c r="Q263" s="60"/>
      <c r="R263" s="60"/>
      <c r="S263" s="89"/>
      <c r="T263" s="106"/>
      <c r="U263" s="88"/>
      <c r="V263" s="91"/>
      <c r="W263" s="12" t="s">
        <v>515</v>
      </c>
      <c r="X263" s="103"/>
      <c r="Y263" s="6" t="s">
        <v>1129</v>
      </c>
      <c r="Z263" s="64" t="s">
        <v>517</v>
      </c>
      <c r="AA263" s="12">
        <v>3</v>
      </c>
      <c r="AB263" s="6" t="s">
        <v>148</v>
      </c>
      <c r="AC263" s="64">
        <v>3060</v>
      </c>
      <c r="AJ263" s="60"/>
      <c r="AK263" s="67" t="s">
        <v>518</v>
      </c>
      <c r="AN263" s="60"/>
      <c r="AO263" s="60"/>
      <c r="AP263" s="60"/>
      <c r="AQ263" s="60"/>
      <c r="AR263" s="72"/>
      <c r="AS263" s="60"/>
      <c r="AT263" s="7"/>
      <c r="AU263" s="7"/>
      <c r="AV263" s="92"/>
      <c r="AW263" s="93"/>
      <c r="AX263" s="77"/>
      <c r="AY263" s="80"/>
      <c r="AZ263" s="94"/>
      <c r="BA263" s="94"/>
      <c r="BB263" s="80" t="s">
        <v>519</v>
      </c>
      <c r="BC263" s="95"/>
      <c r="BD263" s="92"/>
      <c r="BE263" s="92"/>
      <c r="BF263" s="92"/>
      <c r="BG263" s="92"/>
      <c r="BH263" s="92"/>
      <c r="BI263" s="92"/>
      <c r="BJ263" s="92"/>
      <c r="BK263" s="92"/>
      <c r="BL263" s="92"/>
      <c r="BM263" s="92"/>
      <c r="BN263" s="92"/>
      <c r="BO263" s="92"/>
      <c r="BP263" s="92"/>
      <c r="BQ263" s="92"/>
      <c r="BS263" s="6"/>
      <c r="BT263" s="11"/>
      <c r="BU263" s="6"/>
      <c r="BV263" s="6"/>
    </row>
    <row r="264" spans="1:74" ht="15.75" x14ac:dyDescent="0.25">
      <c r="A264" s="50" t="s">
        <v>449</v>
      </c>
      <c r="B264" s="52"/>
      <c r="C264" s="7" t="s">
        <v>118</v>
      </c>
      <c r="D264" s="7" t="s">
        <v>1120</v>
      </c>
      <c r="E264" s="7"/>
      <c r="F264" s="55"/>
      <c r="G264" s="6"/>
      <c r="H264" s="6"/>
      <c r="I264" s="10" t="s">
        <v>110</v>
      </c>
      <c r="J264" s="11" t="s">
        <v>985</v>
      </c>
      <c r="K264" s="102" t="s">
        <v>377</v>
      </c>
      <c r="L264" s="98"/>
      <c r="M264" s="98">
        <v>1000</v>
      </c>
      <c r="N264" s="60" t="s">
        <v>1121</v>
      </c>
      <c r="O264" s="88"/>
      <c r="P264" s="60" t="s">
        <v>1130</v>
      </c>
      <c r="Q264" s="60"/>
      <c r="R264" s="60"/>
      <c r="S264" s="89"/>
      <c r="T264" s="106"/>
      <c r="U264" s="88"/>
      <c r="V264" s="91"/>
      <c r="W264" s="12" t="s">
        <v>515</v>
      </c>
      <c r="X264" s="103"/>
      <c r="Y264" s="6" t="s">
        <v>1129</v>
      </c>
      <c r="Z264" s="64" t="s">
        <v>522</v>
      </c>
      <c r="AA264" s="12">
        <v>3</v>
      </c>
      <c r="AB264" s="6" t="s">
        <v>148</v>
      </c>
      <c r="AC264" s="64">
        <v>3084</v>
      </c>
      <c r="AJ264" s="60"/>
      <c r="AK264" s="67" t="s">
        <v>450</v>
      </c>
      <c r="AN264" s="60"/>
      <c r="AO264" s="60"/>
      <c r="AP264" s="60"/>
      <c r="AQ264" s="60"/>
      <c r="AR264" s="72"/>
      <c r="AS264" s="60"/>
      <c r="AT264" s="7"/>
      <c r="AU264" s="7"/>
      <c r="AV264" s="92"/>
      <c r="AW264" s="93"/>
      <c r="AX264" s="77"/>
      <c r="AY264" s="80"/>
      <c r="AZ264" s="94"/>
      <c r="BA264" s="94"/>
      <c r="BB264" s="80" t="s">
        <v>519</v>
      </c>
      <c r="BC264" s="95"/>
      <c r="BD264" s="92"/>
      <c r="BE264" s="92"/>
      <c r="BF264" s="92"/>
      <c r="BG264" s="92"/>
      <c r="BH264" s="92"/>
      <c r="BI264" s="92"/>
      <c r="BJ264" s="92"/>
      <c r="BK264" s="92"/>
      <c r="BL264" s="92"/>
      <c r="BM264" s="92"/>
      <c r="BN264" s="92"/>
      <c r="BO264" s="92"/>
      <c r="BP264" s="92"/>
      <c r="BQ264" s="92"/>
      <c r="BS264" s="6"/>
      <c r="BT264" s="11"/>
      <c r="BU264" s="6"/>
      <c r="BV264" s="6"/>
    </row>
    <row r="265" spans="1:74" ht="15.75" x14ac:dyDescent="0.25">
      <c r="A265" s="50" t="s">
        <v>449</v>
      </c>
      <c r="B265" s="52"/>
      <c r="C265" s="7" t="s">
        <v>118</v>
      </c>
      <c r="D265" s="7" t="s">
        <v>1120</v>
      </c>
      <c r="E265" s="7"/>
      <c r="F265" s="55"/>
      <c r="G265" s="6"/>
      <c r="H265" s="6"/>
      <c r="I265" s="10" t="s">
        <v>110</v>
      </c>
      <c r="J265" s="11" t="s">
        <v>1131</v>
      </c>
      <c r="K265" s="102" t="s">
        <v>377</v>
      </c>
      <c r="L265" s="98"/>
      <c r="M265" s="98">
        <v>1000</v>
      </c>
      <c r="N265" s="60" t="s">
        <v>1121</v>
      </c>
      <c r="O265" s="88"/>
      <c r="P265" s="60" t="s">
        <v>1132</v>
      </c>
      <c r="Q265" s="60"/>
      <c r="R265" s="60"/>
      <c r="S265" s="89"/>
      <c r="T265" s="106"/>
      <c r="U265" s="88"/>
      <c r="V265" s="91"/>
      <c r="W265" s="12" t="s">
        <v>515</v>
      </c>
      <c r="X265" s="103"/>
      <c r="Y265" s="6" t="s">
        <v>1133</v>
      </c>
      <c r="Z265" s="64" t="s">
        <v>517</v>
      </c>
      <c r="AA265" s="12">
        <v>4</v>
      </c>
      <c r="AB265" s="6" t="s">
        <v>148</v>
      </c>
      <c r="AC265" s="64">
        <v>3060</v>
      </c>
      <c r="AJ265" s="60"/>
      <c r="AK265" s="67" t="s">
        <v>518</v>
      </c>
      <c r="AN265" s="60"/>
      <c r="AO265" s="60"/>
      <c r="AP265" s="60"/>
      <c r="AQ265" s="60"/>
      <c r="AR265" s="72"/>
      <c r="AS265" s="60"/>
      <c r="AT265" s="7"/>
      <c r="AU265" s="7"/>
      <c r="AV265" s="92"/>
      <c r="AW265" s="93"/>
      <c r="AX265" s="77"/>
      <c r="AY265" s="80"/>
      <c r="AZ265" s="94"/>
      <c r="BA265" s="94"/>
      <c r="BB265" s="80" t="s">
        <v>519</v>
      </c>
      <c r="BC265" s="95"/>
      <c r="BD265" s="92"/>
      <c r="BE265" s="92"/>
      <c r="BF265" s="92"/>
      <c r="BG265" s="92"/>
      <c r="BH265" s="92"/>
      <c r="BI265" s="92"/>
      <c r="BJ265" s="92"/>
      <c r="BK265" s="92"/>
      <c r="BL265" s="92"/>
      <c r="BM265" s="92"/>
      <c r="BN265" s="92"/>
      <c r="BO265" s="92"/>
      <c r="BP265" s="92"/>
      <c r="BQ265" s="92"/>
      <c r="BS265" s="6"/>
      <c r="BT265" s="11"/>
      <c r="BU265" s="6"/>
      <c r="BV265" s="6"/>
    </row>
    <row r="266" spans="1:74" ht="15.75" x14ac:dyDescent="0.25">
      <c r="A266" s="50" t="s">
        <v>449</v>
      </c>
      <c r="B266" s="52"/>
      <c r="C266" s="7" t="s">
        <v>118</v>
      </c>
      <c r="D266" s="7" t="s">
        <v>1120</v>
      </c>
      <c r="E266" s="7"/>
      <c r="F266" s="55"/>
      <c r="G266" s="6"/>
      <c r="H266" s="6"/>
      <c r="I266" s="10" t="s">
        <v>110</v>
      </c>
      <c r="J266" s="11" t="s">
        <v>1134</v>
      </c>
      <c r="K266" s="102" t="s">
        <v>377</v>
      </c>
      <c r="L266" s="98"/>
      <c r="M266" s="98">
        <v>1000</v>
      </c>
      <c r="N266" s="60" t="s">
        <v>1121</v>
      </c>
      <c r="O266" s="88"/>
      <c r="P266" s="60" t="s">
        <v>1135</v>
      </c>
      <c r="Q266" s="60"/>
      <c r="R266" s="60"/>
      <c r="S266" s="89"/>
      <c r="T266" s="106"/>
      <c r="U266" s="88"/>
      <c r="V266" s="91"/>
      <c r="W266" s="12" t="s">
        <v>515</v>
      </c>
      <c r="X266" s="103"/>
      <c r="Y266" s="6" t="s">
        <v>1133</v>
      </c>
      <c r="Z266" s="64" t="s">
        <v>522</v>
      </c>
      <c r="AA266" s="12">
        <v>4</v>
      </c>
      <c r="AB266" s="6" t="s">
        <v>148</v>
      </c>
      <c r="AC266" s="64">
        <v>3084</v>
      </c>
      <c r="AJ266" s="60"/>
      <c r="AK266" s="67" t="s">
        <v>450</v>
      </c>
      <c r="AN266" s="60"/>
      <c r="AO266" s="60"/>
      <c r="AP266" s="60"/>
      <c r="AQ266" s="60"/>
      <c r="AR266" s="72"/>
      <c r="AS266" s="60"/>
      <c r="AT266" s="7"/>
      <c r="AU266" s="7"/>
      <c r="AV266" s="92"/>
      <c r="AW266" s="93"/>
      <c r="AX266" s="77"/>
      <c r="AY266" s="80"/>
      <c r="AZ266" s="94"/>
      <c r="BA266" s="94"/>
      <c r="BB266" s="80" t="s">
        <v>519</v>
      </c>
      <c r="BC266" s="95"/>
      <c r="BD266" s="92"/>
      <c r="BE266" s="92"/>
      <c r="BF266" s="92"/>
      <c r="BG266" s="92"/>
      <c r="BH266" s="92"/>
      <c r="BI266" s="92"/>
      <c r="BJ266" s="92"/>
      <c r="BK266" s="92"/>
      <c r="BL266" s="92"/>
      <c r="BM266" s="92"/>
      <c r="BN266" s="92"/>
      <c r="BO266" s="92"/>
      <c r="BP266" s="92"/>
      <c r="BQ266" s="92"/>
      <c r="BS266" s="6"/>
      <c r="BT266" s="11"/>
      <c r="BU266" s="6"/>
      <c r="BV266" s="6"/>
    </row>
    <row r="267" spans="1:74" ht="15.75" x14ac:dyDescent="0.25">
      <c r="A267" s="50" t="s">
        <v>449</v>
      </c>
      <c r="B267" s="52"/>
      <c r="C267" s="7" t="s">
        <v>118</v>
      </c>
      <c r="D267" s="7" t="s">
        <v>1120</v>
      </c>
      <c r="E267" s="7"/>
      <c r="F267" s="55"/>
      <c r="G267" s="6"/>
      <c r="H267" s="6"/>
      <c r="I267" s="10" t="s">
        <v>110</v>
      </c>
      <c r="J267" s="11" t="s">
        <v>1136</v>
      </c>
      <c r="K267" s="102" t="s">
        <v>377</v>
      </c>
      <c r="L267" s="98"/>
      <c r="M267" s="98">
        <v>1000</v>
      </c>
      <c r="N267" s="60" t="s">
        <v>1121</v>
      </c>
      <c r="O267" s="88"/>
      <c r="P267" s="60" t="s">
        <v>1137</v>
      </c>
      <c r="Q267" s="60"/>
      <c r="R267" s="60"/>
      <c r="S267" s="89"/>
      <c r="T267" s="106"/>
      <c r="U267" s="88"/>
      <c r="V267" s="91"/>
      <c r="W267" s="12" t="s">
        <v>515</v>
      </c>
      <c r="X267" s="103"/>
      <c r="Y267" s="6" t="s">
        <v>1138</v>
      </c>
      <c r="Z267" s="64" t="s">
        <v>517</v>
      </c>
      <c r="AA267" s="12">
        <v>5</v>
      </c>
      <c r="AB267" s="6" t="s">
        <v>148</v>
      </c>
      <c r="AC267" s="64">
        <v>3060</v>
      </c>
      <c r="AJ267" s="60"/>
      <c r="AK267" s="67" t="s">
        <v>518</v>
      </c>
      <c r="AN267" s="60"/>
      <c r="AO267" s="60"/>
      <c r="AP267" s="60"/>
      <c r="AQ267" s="60"/>
      <c r="AR267" s="72"/>
      <c r="AS267" s="60"/>
      <c r="AT267" s="7"/>
      <c r="AU267" s="7"/>
      <c r="AV267" s="92"/>
      <c r="AW267" s="93"/>
      <c r="AX267" s="77"/>
      <c r="AY267" s="80"/>
      <c r="AZ267" s="94"/>
      <c r="BA267" s="94"/>
      <c r="BB267" s="80" t="s">
        <v>519</v>
      </c>
      <c r="BC267" s="95"/>
      <c r="BD267" s="92"/>
      <c r="BE267" s="92"/>
      <c r="BF267" s="92"/>
      <c r="BG267" s="92"/>
      <c r="BH267" s="92"/>
      <c r="BI267" s="92"/>
      <c r="BJ267" s="92"/>
      <c r="BK267" s="92"/>
      <c r="BL267" s="92"/>
      <c r="BM267" s="92"/>
      <c r="BN267" s="92"/>
      <c r="BO267" s="92"/>
      <c r="BP267" s="92"/>
      <c r="BQ267" s="92"/>
      <c r="BS267" s="6"/>
      <c r="BT267" s="11"/>
      <c r="BU267" s="6"/>
      <c r="BV267" s="6"/>
    </row>
    <row r="268" spans="1:74" ht="15.75" x14ac:dyDescent="0.25">
      <c r="A268" s="50" t="s">
        <v>449</v>
      </c>
      <c r="B268" s="52"/>
      <c r="C268" s="7" t="s">
        <v>118</v>
      </c>
      <c r="D268" s="7" t="s">
        <v>1120</v>
      </c>
      <c r="E268" s="7"/>
      <c r="F268" s="55"/>
      <c r="G268" s="6"/>
      <c r="H268" s="6"/>
      <c r="I268" s="10" t="s">
        <v>110</v>
      </c>
      <c r="J268" s="11" t="s">
        <v>1139</v>
      </c>
      <c r="K268" s="102" t="s">
        <v>377</v>
      </c>
      <c r="L268" s="98"/>
      <c r="M268" s="98">
        <v>1000</v>
      </c>
      <c r="N268" s="60" t="s">
        <v>1121</v>
      </c>
      <c r="O268" s="88"/>
      <c r="P268" s="60" t="s">
        <v>1140</v>
      </c>
      <c r="Q268" s="60"/>
      <c r="R268" s="60"/>
      <c r="S268" s="89"/>
      <c r="T268" s="106"/>
      <c r="U268" s="88"/>
      <c r="V268" s="91"/>
      <c r="W268" s="12" t="s">
        <v>515</v>
      </c>
      <c r="X268" s="103"/>
      <c r="Y268" s="6" t="s">
        <v>1138</v>
      </c>
      <c r="Z268" s="64" t="s">
        <v>522</v>
      </c>
      <c r="AA268" s="12">
        <v>5</v>
      </c>
      <c r="AB268" s="6" t="s">
        <v>148</v>
      </c>
      <c r="AC268" s="64">
        <v>3084</v>
      </c>
      <c r="AJ268" s="60"/>
      <c r="AK268" s="67" t="s">
        <v>450</v>
      </c>
      <c r="AN268" s="60"/>
      <c r="AO268" s="60"/>
      <c r="AP268" s="60"/>
      <c r="AQ268" s="60"/>
      <c r="AR268" s="72"/>
      <c r="AS268" s="60"/>
      <c r="AT268" s="7"/>
      <c r="AU268" s="7"/>
      <c r="AV268" s="92"/>
      <c r="AW268" s="93"/>
      <c r="AX268" s="77"/>
      <c r="AY268" s="80"/>
      <c r="AZ268" s="94"/>
      <c r="BA268" s="94"/>
      <c r="BB268" s="80" t="s">
        <v>519</v>
      </c>
      <c r="BC268" s="95"/>
      <c r="BD268" s="92"/>
      <c r="BE268" s="92"/>
      <c r="BF268" s="92"/>
      <c r="BG268" s="92"/>
      <c r="BH268" s="92"/>
      <c r="BI268" s="92"/>
      <c r="BJ268" s="92"/>
      <c r="BK268" s="92"/>
      <c r="BL268" s="92"/>
      <c r="BM268" s="92"/>
      <c r="BN268" s="92"/>
      <c r="BO268" s="92"/>
      <c r="BP268" s="92"/>
      <c r="BQ268" s="92"/>
      <c r="BS268" s="6"/>
      <c r="BT268" s="11"/>
      <c r="BU268" s="6"/>
      <c r="BV268" s="6"/>
    </row>
    <row r="269" spans="1:74" ht="15.75" x14ac:dyDescent="0.25">
      <c r="A269" s="50" t="s">
        <v>449</v>
      </c>
      <c r="B269" s="52"/>
      <c r="C269" s="7" t="s">
        <v>118</v>
      </c>
      <c r="D269" s="7" t="s">
        <v>1120</v>
      </c>
      <c r="E269" s="7"/>
      <c r="F269" s="55"/>
      <c r="G269" s="6"/>
      <c r="H269" s="6"/>
      <c r="I269" s="10" t="s">
        <v>110</v>
      </c>
      <c r="J269" s="11" t="s">
        <v>1141</v>
      </c>
      <c r="K269" s="102" t="s">
        <v>377</v>
      </c>
      <c r="L269" s="98"/>
      <c r="M269" s="98">
        <v>1000</v>
      </c>
      <c r="N269" s="60" t="s">
        <v>1121</v>
      </c>
      <c r="O269" s="88"/>
      <c r="P269" s="60" t="s">
        <v>1142</v>
      </c>
      <c r="Q269" s="60"/>
      <c r="R269" s="60"/>
      <c r="S269" s="89"/>
      <c r="T269" s="106"/>
      <c r="U269" s="88"/>
      <c r="V269" s="91"/>
      <c r="W269" s="12" t="s">
        <v>515</v>
      </c>
      <c r="X269" s="103"/>
      <c r="Y269" s="6" t="s">
        <v>1143</v>
      </c>
      <c r="Z269" s="64" t="s">
        <v>517</v>
      </c>
      <c r="AA269" s="12">
        <v>6</v>
      </c>
      <c r="AB269" s="6" t="s">
        <v>148</v>
      </c>
      <c r="AC269" s="64">
        <v>3060</v>
      </c>
      <c r="AJ269" s="60"/>
      <c r="AK269" s="67" t="s">
        <v>518</v>
      </c>
      <c r="AN269" s="60"/>
      <c r="AO269" s="60"/>
      <c r="AP269" s="60"/>
      <c r="AQ269" s="60"/>
      <c r="AR269" s="72"/>
      <c r="AS269" s="60"/>
      <c r="AT269" s="7"/>
      <c r="AU269" s="7"/>
      <c r="AV269" s="92"/>
      <c r="AW269" s="93"/>
      <c r="AX269" s="77"/>
      <c r="AY269" s="80"/>
      <c r="AZ269" s="94"/>
      <c r="BA269" s="94"/>
      <c r="BB269" s="80" t="s">
        <v>519</v>
      </c>
      <c r="BC269" s="95"/>
      <c r="BD269" s="92"/>
      <c r="BE269" s="92"/>
      <c r="BF269" s="92"/>
      <c r="BG269" s="92"/>
      <c r="BH269" s="92"/>
      <c r="BI269" s="92"/>
      <c r="BJ269" s="92"/>
      <c r="BK269" s="92"/>
      <c r="BL269" s="92"/>
      <c r="BM269" s="92"/>
      <c r="BN269" s="92"/>
      <c r="BO269" s="92"/>
      <c r="BP269" s="92"/>
      <c r="BQ269" s="92"/>
      <c r="BS269" s="6"/>
      <c r="BT269" s="11"/>
      <c r="BU269" s="6"/>
      <c r="BV269" s="6"/>
    </row>
    <row r="270" spans="1:74" ht="15.75" x14ac:dyDescent="0.25">
      <c r="A270" s="50" t="s">
        <v>449</v>
      </c>
      <c r="B270" s="52"/>
      <c r="C270" s="7" t="s">
        <v>118</v>
      </c>
      <c r="D270" s="7" t="s">
        <v>1120</v>
      </c>
      <c r="E270" s="7"/>
      <c r="F270" s="55"/>
      <c r="G270" s="6"/>
      <c r="H270" s="6"/>
      <c r="I270" s="10" t="s">
        <v>110</v>
      </c>
      <c r="J270" s="11" t="s">
        <v>1144</v>
      </c>
      <c r="K270" s="102" t="s">
        <v>377</v>
      </c>
      <c r="L270" s="98"/>
      <c r="M270" s="98">
        <v>1000</v>
      </c>
      <c r="N270" s="60" t="s">
        <v>1121</v>
      </c>
      <c r="O270" s="88"/>
      <c r="P270" s="60" t="s">
        <v>1145</v>
      </c>
      <c r="Q270" s="60"/>
      <c r="R270" s="60"/>
      <c r="S270" s="89"/>
      <c r="T270" s="106"/>
      <c r="U270" s="88"/>
      <c r="V270" s="91"/>
      <c r="W270" s="12" t="s">
        <v>515</v>
      </c>
      <c r="X270" s="103"/>
      <c r="Y270" s="6" t="s">
        <v>1143</v>
      </c>
      <c r="Z270" s="64" t="s">
        <v>522</v>
      </c>
      <c r="AA270" s="12">
        <v>6</v>
      </c>
      <c r="AB270" s="6" t="s">
        <v>148</v>
      </c>
      <c r="AC270" s="64">
        <v>3084</v>
      </c>
      <c r="AJ270" s="60"/>
      <c r="AK270" s="67" t="s">
        <v>450</v>
      </c>
      <c r="AN270" s="60"/>
      <c r="AO270" s="60"/>
      <c r="AP270" s="60"/>
      <c r="AQ270" s="60"/>
      <c r="AR270" s="72"/>
      <c r="AS270" s="60"/>
      <c r="AT270" s="7"/>
      <c r="AU270" s="7"/>
      <c r="AV270" s="92"/>
      <c r="AW270" s="93"/>
      <c r="AX270" s="77"/>
      <c r="AY270" s="80"/>
      <c r="AZ270" s="94"/>
      <c r="BA270" s="94"/>
      <c r="BB270" s="80" t="s">
        <v>519</v>
      </c>
      <c r="BC270" s="95"/>
      <c r="BD270" s="92"/>
      <c r="BE270" s="92"/>
      <c r="BF270" s="92"/>
      <c r="BG270" s="92"/>
      <c r="BH270" s="92"/>
      <c r="BI270" s="92"/>
      <c r="BJ270" s="92"/>
      <c r="BK270" s="92"/>
      <c r="BL270" s="92"/>
      <c r="BM270" s="92"/>
      <c r="BN270" s="92"/>
      <c r="BO270" s="92"/>
      <c r="BP270" s="92"/>
      <c r="BQ270" s="92"/>
      <c r="BS270" s="6"/>
      <c r="BT270" s="11"/>
      <c r="BU270" s="6"/>
      <c r="BV270" s="6"/>
    </row>
    <row r="271" spans="1:74" ht="15.75" x14ac:dyDescent="0.25">
      <c r="A271" s="50" t="s">
        <v>449</v>
      </c>
      <c r="B271" s="52"/>
      <c r="C271" s="7" t="s">
        <v>118</v>
      </c>
      <c r="D271" s="7" t="s">
        <v>1120</v>
      </c>
      <c r="E271" s="7"/>
      <c r="F271" s="55"/>
      <c r="G271" s="6"/>
      <c r="H271" s="6"/>
      <c r="I271" s="10" t="s">
        <v>110</v>
      </c>
      <c r="J271" s="11" t="s">
        <v>1146</v>
      </c>
      <c r="K271" s="102" t="s">
        <v>377</v>
      </c>
      <c r="L271" s="98"/>
      <c r="M271" s="98">
        <v>1000</v>
      </c>
      <c r="N271" s="60" t="s">
        <v>1121</v>
      </c>
      <c r="O271" s="88"/>
      <c r="P271" s="60" t="s">
        <v>1147</v>
      </c>
      <c r="Q271" s="60"/>
      <c r="R271" s="60"/>
      <c r="S271" s="89"/>
      <c r="T271" s="106"/>
      <c r="U271" s="88"/>
      <c r="V271" s="91"/>
      <c r="W271" s="12" t="s">
        <v>515</v>
      </c>
      <c r="X271" s="103"/>
      <c r="Y271" s="6" t="s">
        <v>1148</v>
      </c>
      <c r="Z271" s="64" t="s">
        <v>517</v>
      </c>
      <c r="AA271" s="12">
        <v>7</v>
      </c>
      <c r="AB271" s="6" t="s">
        <v>148</v>
      </c>
      <c r="AC271" s="64">
        <v>3060</v>
      </c>
      <c r="AJ271" s="60"/>
      <c r="AK271" s="67" t="s">
        <v>518</v>
      </c>
      <c r="AN271" s="60"/>
      <c r="AO271" s="60"/>
      <c r="AP271" s="60"/>
      <c r="AQ271" s="60"/>
      <c r="AR271" s="72"/>
      <c r="AS271" s="60"/>
      <c r="AT271" s="7"/>
      <c r="AU271" s="7"/>
      <c r="AV271" s="92"/>
      <c r="AW271" s="93"/>
      <c r="AX271" s="77"/>
      <c r="AY271" s="80"/>
      <c r="AZ271" s="94"/>
      <c r="BA271" s="94"/>
      <c r="BB271" s="80" t="s">
        <v>519</v>
      </c>
      <c r="BC271" s="95"/>
      <c r="BD271" s="92"/>
      <c r="BE271" s="92"/>
      <c r="BF271" s="92"/>
      <c r="BG271" s="92"/>
      <c r="BH271" s="92"/>
      <c r="BI271" s="92"/>
      <c r="BJ271" s="92"/>
      <c r="BK271" s="92"/>
      <c r="BL271" s="92"/>
      <c r="BM271" s="92"/>
      <c r="BN271" s="92"/>
      <c r="BO271" s="92"/>
      <c r="BP271" s="92"/>
      <c r="BQ271" s="92"/>
      <c r="BS271" s="6"/>
      <c r="BT271" s="11"/>
      <c r="BU271" s="6"/>
      <c r="BV271" s="6"/>
    </row>
    <row r="272" spans="1:74" ht="15.75" x14ac:dyDescent="0.25">
      <c r="A272" s="50" t="s">
        <v>449</v>
      </c>
      <c r="B272" s="52"/>
      <c r="C272" s="7" t="s">
        <v>118</v>
      </c>
      <c r="D272" s="7" t="s">
        <v>1120</v>
      </c>
      <c r="E272" s="7"/>
      <c r="F272" s="55"/>
      <c r="G272" s="6"/>
      <c r="H272" s="6"/>
      <c r="I272" s="10" t="s">
        <v>110</v>
      </c>
      <c r="J272" s="11" t="s">
        <v>1149</v>
      </c>
      <c r="K272" s="102" t="s">
        <v>377</v>
      </c>
      <c r="L272" s="98"/>
      <c r="M272" s="98">
        <v>1000</v>
      </c>
      <c r="N272" s="60" t="s">
        <v>1121</v>
      </c>
      <c r="O272" s="88"/>
      <c r="P272" s="60" t="s">
        <v>1150</v>
      </c>
      <c r="Q272" s="60"/>
      <c r="R272" s="60"/>
      <c r="S272" s="89"/>
      <c r="T272" s="106"/>
      <c r="U272" s="88"/>
      <c r="V272" s="91"/>
      <c r="W272" s="12" t="s">
        <v>515</v>
      </c>
      <c r="X272" s="103"/>
      <c r="Y272" s="6" t="s">
        <v>1148</v>
      </c>
      <c r="Z272" s="64" t="s">
        <v>522</v>
      </c>
      <c r="AA272" s="12">
        <v>7</v>
      </c>
      <c r="AB272" s="6" t="s">
        <v>148</v>
      </c>
      <c r="AC272" s="64">
        <v>3084</v>
      </c>
      <c r="AJ272" s="60"/>
      <c r="AK272" s="67" t="s">
        <v>450</v>
      </c>
      <c r="AN272" s="60"/>
      <c r="AO272" s="60"/>
      <c r="AP272" s="60"/>
      <c r="AQ272" s="60"/>
      <c r="AR272" s="72"/>
      <c r="AS272" s="60"/>
      <c r="AT272" s="7"/>
      <c r="AU272" s="7"/>
      <c r="AV272" s="92"/>
      <c r="AW272" s="93"/>
      <c r="AX272" s="77"/>
      <c r="AY272" s="80"/>
      <c r="AZ272" s="94"/>
      <c r="BA272" s="94"/>
      <c r="BB272" s="80" t="s">
        <v>519</v>
      </c>
      <c r="BC272" s="95"/>
      <c r="BD272" s="92"/>
      <c r="BE272" s="92"/>
      <c r="BF272" s="92"/>
      <c r="BG272" s="92"/>
      <c r="BH272" s="92"/>
      <c r="BI272" s="92"/>
      <c r="BJ272" s="92"/>
      <c r="BK272" s="92"/>
      <c r="BL272" s="92"/>
      <c r="BM272" s="92"/>
      <c r="BN272" s="92"/>
      <c r="BO272" s="92"/>
      <c r="BP272" s="92"/>
      <c r="BQ272" s="92"/>
      <c r="BS272" s="6"/>
      <c r="BT272" s="11"/>
      <c r="BU272" s="6"/>
      <c r="BV272" s="6"/>
    </row>
    <row r="273" spans="1:74" ht="15.75" x14ac:dyDescent="0.25">
      <c r="A273" s="50" t="s">
        <v>449</v>
      </c>
      <c r="B273" s="52"/>
      <c r="C273" s="7" t="s">
        <v>118</v>
      </c>
      <c r="D273" s="7" t="s">
        <v>1120</v>
      </c>
      <c r="E273" s="7"/>
      <c r="F273" s="55"/>
      <c r="G273" s="6"/>
      <c r="H273" s="6"/>
      <c r="I273" s="10" t="s">
        <v>110</v>
      </c>
      <c r="J273" s="11" t="s">
        <v>1151</v>
      </c>
      <c r="K273" s="102" t="s">
        <v>377</v>
      </c>
      <c r="L273" s="98"/>
      <c r="M273" s="98">
        <v>1000</v>
      </c>
      <c r="N273" s="60" t="s">
        <v>1121</v>
      </c>
      <c r="O273" s="88"/>
      <c r="P273" s="60" t="s">
        <v>1152</v>
      </c>
      <c r="Q273" s="60"/>
      <c r="R273" s="60"/>
      <c r="S273" s="89"/>
      <c r="T273" s="106"/>
      <c r="U273" s="88"/>
      <c r="V273" s="91"/>
      <c r="W273" s="12" t="s">
        <v>515</v>
      </c>
      <c r="X273" s="103"/>
      <c r="Y273" s="6" t="s">
        <v>1153</v>
      </c>
      <c r="Z273" s="64" t="s">
        <v>517</v>
      </c>
      <c r="AA273" s="12">
        <v>8</v>
      </c>
      <c r="AB273" s="6" t="s">
        <v>148</v>
      </c>
      <c r="AC273" s="64">
        <v>3060</v>
      </c>
      <c r="AJ273" s="60"/>
      <c r="AK273" s="67" t="s">
        <v>518</v>
      </c>
      <c r="AN273" s="60"/>
      <c r="AO273" s="60"/>
      <c r="AP273" s="60"/>
      <c r="AQ273" s="60"/>
      <c r="AR273" s="72"/>
      <c r="AS273" s="60"/>
      <c r="AT273" s="7"/>
      <c r="AU273" s="7"/>
      <c r="AV273" s="92"/>
      <c r="AW273" s="93"/>
      <c r="AX273" s="77"/>
      <c r="AY273" s="80"/>
      <c r="AZ273" s="94"/>
      <c r="BA273" s="94"/>
      <c r="BB273" s="80" t="s">
        <v>519</v>
      </c>
      <c r="BC273" s="95"/>
      <c r="BD273" s="92"/>
      <c r="BE273" s="92"/>
      <c r="BF273" s="92"/>
      <c r="BG273" s="92"/>
      <c r="BH273" s="92"/>
      <c r="BI273" s="92"/>
      <c r="BJ273" s="92"/>
      <c r="BK273" s="92"/>
      <c r="BL273" s="92"/>
      <c r="BM273" s="92"/>
      <c r="BN273" s="92"/>
      <c r="BO273" s="92"/>
      <c r="BP273" s="92"/>
      <c r="BQ273" s="92"/>
      <c r="BS273" s="6"/>
      <c r="BT273" s="11"/>
      <c r="BU273" s="6"/>
      <c r="BV273" s="6"/>
    </row>
    <row r="274" spans="1:74" ht="15.75" x14ac:dyDescent="0.25">
      <c r="A274" s="50" t="s">
        <v>449</v>
      </c>
      <c r="B274" s="52"/>
      <c r="C274" s="7" t="s">
        <v>118</v>
      </c>
      <c r="D274" s="7" t="s">
        <v>1120</v>
      </c>
      <c r="E274" s="7"/>
      <c r="F274" s="55"/>
      <c r="G274" s="6"/>
      <c r="H274" s="6"/>
      <c r="I274" s="10" t="s">
        <v>110</v>
      </c>
      <c r="J274" s="11" t="s">
        <v>1154</v>
      </c>
      <c r="K274" s="102" t="s">
        <v>377</v>
      </c>
      <c r="L274" s="98"/>
      <c r="M274" s="98">
        <v>1000</v>
      </c>
      <c r="N274" s="60" t="s">
        <v>1121</v>
      </c>
      <c r="O274" s="88"/>
      <c r="P274" s="60" t="s">
        <v>1155</v>
      </c>
      <c r="Q274" s="60"/>
      <c r="R274" s="60"/>
      <c r="S274" s="89"/>
      <c r="T274" s="106"/>
      <c r="U274" s="88"/>
      <c r="V274" s="91"/>
      <c r="W274" s="12" t="s">
        <v>515</v>
      </c>
      <c r="X274" s="103"/>
      <c r="Y274" s="6" t="s">
        <v>1153</v>
      </c>
      <c r="Z274" s="64" t="s">
        <v>522</v>
      </c>
      <c r="AA274" s="12">
        <v>8</v>
      </c>
      <c r="AB274" s="6" t="s">
        <v>148</v>
      </c>
      <c r="AC274" s="64">
        <v>3084</v>
      </c>
      <c r="AJ274" s="60"/>
      <c r="AK274" s="67" t="s">
        <v>450</v>
      </c>
      <c r="AN274" s="60"/>
      <c r="AO274" s="60"/>
      <c r="AP274" s="60"/>
      <c r="AQ274" s="60"/>
      <c r="AR274" s="72"/>
      <c r="AS274" s="60"/>
      <c r="AT274" s="7"/>
      <c r="AU274" s="7"/>
      <c r="AV274" s="92"/>
      <c r="AW274" s="93"/>
      <c r="AX274" s="77"/>
      <c r="AY274" s="80"/>
      <c r="AZ274" s="94"/>
      <c r="BA274" s="94"/>
      <c r="BB274" s="80" t="s">
        <v>519</v>
      </c>
      <c r="BC274" s="95"/>
      <c r="BD274" s="92"/>
      <c r="BE274" s="92"/>
      <c r="BF274" s="92"/>
      <c r="BG274" s="92"/>
      <c r="BH274" s="92"/>
      <c r="BI274" s="92"/>
      <c r="BJ274" s="92"/>
      <c r="BK274" s="92"/>
      <c r="BL274" s="92"/>
      <c r="BM274" s="92"/>
      <c r="BN274" s="92"/>
      <c r="BO274" s="92"/>
      <c r="BP274" s="92"/>
      <c r="BQ274" s="92"/>
      <c r="BS274" s="6"/>
      <c r="BT274" s="11"/>
      <c r="BU274" s="6"/>
      <c r="BV274" s="6"/>
    </row>
    <row r="275" spans="1:74" ht="15.75" x14ac:dyDescent="0.25">
      <c r="A275" s="50" t="s">
        <v>449</v>
      </c>
      <c r="B275" s="52"/>
      <c r="C275" s="7" t="s">
        <v>118</v>
      </c>
      <c r="D275" s="7" t="s">
        <v>1120</v>
      </c>
      <c r="E275" s="7"/>
      <c r="F275" s="55"/>
      <c r="G275" s="6"/>
      <c r="H275" s="6"/>
      <c r="I275" s="10" t="s">
        <v>110</v>
      </c>
      <c r="J275" s="11" t="s">
        <v>1156</v>
      </c>
      <c r="K275" s="102" t="s">
        <v>377</v>
      </c>
      <c r="L275" s="98"/>
      <c r="M275" s="98">
        <v>1000</v>
      </c>
      <c r="N275" s="60" t="s">
        <v>1121</v>
      </c>
      <c r="O275" s="88"/>
      <c r="P275" s="60" t="s">
        <v>1157</v>
      </c>
      <c r="Q275" s="60"/>
      <c r="R275" s="60"/>
      <c r="S275" s="89"/>
      <c r="T275" s="106"/>
      <c r="U275" s="88"/>
      <c r="V275" s="91"/>
      <c r="W275" s="12" t="s">
        <v>515</v>
      </c>
      <c r="X275" s="103"/>
      <c r="Y275" s="6" t="s">
        <v>1158</v>
      </c>
      <c r="Z275" s="64" t="s">
        <v>517</v>
      </c>
      <c r="AA275" s="12">
        <v>9</v>
      </c>
      <c r="AB275" s="6" t="s">
        <v>148</v>
      </c>
      <c r="AC275" s="64">
        <v>3060</v>
      </c>
      <c r="AJ275" s="60"/>
      <c r="AK275" s="67" t="s">
        <v>518</v>
      </c>
      <c r="AN275" s="60"/>
      <c r="AO275" s="60"/>
      <c r="AP275" s="60"/>
      <c r="AQ275" s="60"/>
      <c r="AR275" s="72"/>
      <c r="AS275" s="60"/>
      <c r="AT275" s="7"/>
      <c r="AU275" s="7"/>
      <c r="AV275" s="92"/>
      <c r="AW275" s="93"/>
      <c r="AX275" s="77"/>
      <c r="AY275" s="80"/>
      <c r="AZ275" s="94"/>
      <c r="BA275" s="94"/>
      <c r="BB275" s="80" t="s">
        <v>519</v>
      </c>
      <c r="BC275" s="95"/>
      <c r="BD275" s="92"/>
      <c r="BE275" s="92"/>
      <c r="BF275" s="92"/>
      <c r="BG275" s="92"/>
      <c r="BH275" s="92"/>
      <c r="BI275" s="92"/>
      <c r="BJ275" s="92"/>
      <c r="BK275" s="92"/>
      <c r="BL275" s="92"/>
      <c r="BM275" s="92"/>
      <c r="BN275" s="92"/>
      <c r="BO275" s="92"/>
      <c r="BP275" s="92"/>
      <c r="BQ275" s="92"/>
      <c r="BS275" s="6"/>
      <c r="BT275" s="11"/>
      <c r="BU275" s="6"/>
      <c r="BV275" s="6"/>
    </row>
    <row r="276" spans="1:74" ht="15.75" x14ac:dyDescent="0.25">
      <c r="A276" s="50" t="s">
        <v>449</v>
      </c>
      <c r="B276" s="52"/>
      <c r="C276" s="7" t="s">
        <v>118</v>
      </c>
      <c r="D276" s="7" t="s">
        <v>1120</v>
      </c>
      <c r="E276" s="7"/>
      <c r="F276" s="55"/>
      <c r="G276" s="6"/>
      <c r="H276" s="6"/>
      <c r="I276" s="10" t="s">
        <v>110</v>
      </c>
      <c r="J276" s="11" t="s">
        <v>1159</v>
      </c>
      <c r="K276" s="102" t="s">
        <v>377</v>
      </c>
      <c r="L276" s="98"/>
      <c r="M276" s="98">
        <v>1000</v>
      </c>
      <c r="N276" s="60" t="s">
        <v>1121</v>
      </c>
      <c r="O276" s="88"/>
      <c r="P276" s="60" t="s">
        <v>1160</v>
      </c>
      <c r="Q276" s="60"/>
      <c r="R276" s="60"/>
      <c r="S276" s="89"/>
      <c r="T276" s="106"/>
      <c r="U276" s="88"/>
      <c r="V276" s="91"/>
      <c r="W276" s="12" t="s">
        <v>515</v>
      </c>
      <c r="X276" s="103"/>
      <c r="Y276" s="6" t="s">
        <v>1158</v>
      </c>
      <c r="Z276" s="64" t="s">
        <v>522</v>
      </c>
      <c r="AA276" s="12">
        <v>9</v>
      </c>
      <c r="AB276" s="6" t="s">
        <v>148</v>
      </c>
      <c r="AC276" s="64">
        <v>3084</v>
      </c>
      <c r="AJ276" s="60"/>
      <c r="AK276" s="67" t="s">
        <v>450</v>
      </c>
      <c r="AN276" s="60"/>
      <c r="AO276" s="60"/>
      <c r="AP276" s="60"/>
      <c r="AQ276" s="60"/>
      <c r="AR276" s="72"/>
      <c r="AS276" s="60"/>
      <c r="AT276" s="7"/>
      <c r="AU276" s="7"/>
      <c r="AV276" s="92"/>
      <c r="AW276" s="93"/>
      <c r="AX276" s="77"/>
      <c r="AY276" s="80"/>
      <c r="AZ276" s="94"/>
      <c r="BA276" s="94"/>
      <c r="BB276" s="80" t="s">
        <v>519</v>
      </c>
      <c r="BC276" s="95"/>
      <c r="BD276" s="92"/>
      <c r="BE276" s="92"/>
      <c r="BF276" s="92"/>
      <c r="BG276" s="92"/>
      <c r="BH276" s="92"/>
      <c r="BI276" s="92"/>
      <c r="BJ276" s="92"/>
      <c r="BK276" s="92"/>
      <c r="BL276" s="92"/>
      <c r="BM276" s="92"/>
      <c r="BN276" s="92"/>
      <c r="BO276" s="92"/>
      <c r="BP276" s="92"/>
      <c r="BQ276" s="92"/>
      <c r="BS276" s="6"/>
      <c r="BT276" s="11"/>
      <c r="BU276" s="6"/>
      <c r="BV276" s="6"/>
    </row>
    <row r="277" spans="1:74" ht="15.75" x14ac:dyDescent="0.25">
      <c r="A277" s="50" t="s">
        <v>449</v>
      </c>
      <c r="B277" s="52"/>
      <c r="C277" s="7" t="s">
        <v>118</v>
      </c>
      <c r="D277" s="7" t="s">
        <v>1120</v>
      </c>
      <c r="E277" s="7"/>
      <c r="F277" s="55"/>
      <c r="G277" s="6"/>
      <c r="H277" s="6"/>
      <c r="I277" s="10" t="s">
        <v>110</v>
      </c>
      <c r="J277" s="11" t="s">
        <v>986</v>
      </c>
      <c r="K277" s="102" t="s">
        <v>377</v>
      </c>
      <c r="L277" s="98"/>
      <c r="M277" s="98">
        <v>1000</v>
      </c>
      <c r="N277" s="60" t="s">
        <v>1121</v>
      </c>
      <c r="O277" s="88"/>
      <c r="P277" s="60" t="s">
        <v>1161</v>
      </c>
      <c r="Q277" s="60"/>
      <c r="R277" s="60"/>
      <c r="S277" s="89"/>
      <c r="T277" s="106"/>
      <c r="U277" s="88"/>
      <c r="V277" s="91"/>
      <c r="W277" s="12" t="s">
        <v>515</v>
      </c>
      <c r="X277" s="103"/>
      <c r="Y277" s="6" t="s">
        <v>1162</v>
      </c>
      <c r="Z277" s="64" t="s">
        <v>517</v>
      </c>
      <c r="AA277" s="12">
        <v>10</v>
      </c>
      <c r="AB277" s="6" t="s">
        <v>148</v>
      </c>
      <c r="AC277" s="64">
        <v>3060</v>
      </c>
      <c r="AJ277" s="60"/>
      <c r="AK277" s="67" t="s">
        <v>518</v>
      </c>
      <c r="AN277" s="60"/>
      <c r="AO277" s="60"/>
      <c r="AP277" s="60"/>
      <c r="AQ277" s="60"/>
      <c r="AR277" s="72"/>
      <c r="AS277" s="60"/>
      <c r="AT277" s="7"/>
      <c r="AU277" s="7"/>
      <c r="AV277" s="92"/>
      <c r="AW277" s="93"/>
      <c r="AX277" s="77"/>
      <c r="AY277" s="80"/>
      <c r="AZ277" s="94"/>
      <c r="BA277" s="94"/>
      <c r="BB277" s="80" t="s">
        <v>519</v>
      </c>
      <c r="BC277" s="95"/>
      <c r="BD277" s="92"/>
      <c r="BE277" s="92"/>
      <c r="BF277" s="92"/>
      <c r="BG277" s="92"/>
      <c r="BH277" s="92"/>
      <c r="BI277" s="92"/>
      <c r="BJ277" s="92"/>
      <c r="BK277" s="92"/>
      <c r="BL277" s="92"/>
      <c r="BM277" s="92"/>
      <c r="BN277" s="92"/>
      <c r="BO277" s="92"/>
      <c r="BP277" s="92"/>
      <c r="BQ277" s="92"/>
      <c r="BS277" s="6"/>
      <c r="BT277" s="11"/>
      <c r="BU277" s="6"/>
      <c r="BV277" s="6"/>
    </row>
    <row r="278" spans="1:74" ht="15.75" x14ac:dyDescent="0.25">
      <c r="A278" s="50" t="s">
        <v>449</v>
      </c>
      <c r="B278" s="52"/>
      <c r="C278" s="7" t="s">
        <v>118</v>
      </c>
      <c r="D278" s="7" t="s">
        <v>1120</v>
      </c>
      <c r="E278" s="7"/>
      <c r="F278" s="55"/>
      <c r="G278" s="6"/>
      <c r="H278" s="6"/>
      <c r="I278" s="10" t="s">
        <v>110</v>
      </c>
      <c r="J278" s="11" t="s">
        <v>989</v>
      </c>
      <c r="K278" s="102" t="s">
        <v>377</v>
      </c>
      <c r="L278" s="98"/>
      <c r="M278" s="98">
        <v>1000</v>
      </c>
      <c r="N278" s="60" t="s">
        <v>1121</v>
      </c>
      <c r="O278" s="88"/>
      <c r="P278" s="60" t="s">
        <v>1163</v>
      </c>
      <c r="Q278" s="60"/>
      <c r="R278" s="60"/>
      <c r="S278" s="89"/>
      <c r="T278" s="106"/>
      <c r="U278" s="88"/>
      <c r="V278" s="91"/>
      <c r="W278" s="12" t="s">
        <v>515</v>
      </c>
      <c r="X278" s="103"/>
      <c r="Y278" s="6" t="s">
        <v>1162</v>
      </c>
      <c r="Z278" s="64" t="s">
        <v>522</v>
      </c>
      <c r="AA278" s="12">
        <v>10</v>
      </c>
      <c r="AB278" s="6" t="s">
        <v>148</v>
      </c>
      <c r="AC278" s="64">
        <v>3084</v>
      </c>
      <c r="AJ278" s="60"/>
      <c r="AK278" s="67" t="s">
        <v>450</v>
      </c>
      <c r="AN278" s="60"/>
      <c r="AO278" s="60"/>
      <c r="AP278" s="60"/>
      <c r="AQ278" s="60"/>
      <c r="AR278" s="72"/>
      <c r="AS278" s="60"/>
      <c r="AT278" s="7"/>
      <c r="AU278" s="7"/>
      <c r="AV278" s="92"/>
      <c r="AW278" s="93"/>
      <c r="AX278" s="77"/>
      <c r="AY278" s="80"/>
      <c r="AZ278" s="94"/>
      <c r="BA278" s="94"/>
      <c r="BB278" s="80" t="s">
        <v>519</v>
      </c>
      <c r="BC278" s="95"/>
      <c r="BD278" s="92"/>
      <c r="BE278" s="92"/>
      <c r="BF278" s="92"/>
      <c r="BG278" s="92"/>
      <c r="BH278" s="92"/>
      <c r="BI278" s="92"/>
      <c r="BJ278" s="92"/>
      <c r="BK278" s="92"/>
      <c r="BL278" s="92"/>
      <c r="BM278" s="92"/>
      <c r="BN278" s="92"/>
      <c r="BO278" s="92"/>
      <c r="BP278" s="92"/>
      <c r="BQ278" s="92"/>
      <c r="BS278" s="6"/>
      <c r="BT278" s="11"/>
      <c r="BU278" s="6"/>
      <c r="BV278" s="6"/>
    </row>
    <row r="279" spans="1:74" ht="15.75" x14ac:dyDescent="0.25">
      <c r="A279" s="50" t="s">
        <v>449</v>
      </c>
      <c r="B279" s="52"/>
      <c r="C279" s="7" t="s">
        <v>118</v>
      </c>
      <c r="D279" s="7" t="s">
        <v>1120</v>
      </c>
      <c r="E279" s="7"/>
      <c r="F279" s="55"/>
      <c r="G279" s="6"/>
      <c r="H279" s="6"/>
      <c r="I279" s="10" t="s">
        <v>110</v>
      </c>
      <c r="J279" s="11" t="s">
        <v>991</v>
      </c>
      <c r="K279" s="102" t="s">
        <v>377</v>
      </c>
      <c r="L279" s="98"/>
      <c r="M279" s="98">
        <v>1000</v>
      </c>
      <c r="N279" s="60" t="s">
        <v>1121</v>
      </c>
      <c r="O279" s="88"/>
      <c r="P279" s="60" t="s">
        <v>1164</v>
      </c>
      <c r="Q279" s="60"/>
      <c r="R279" s="60"/>
      <c r="S279" s="89"/>
      <c r="T279" s="106"/>
      <c r="U279" s="88"/>
      <c r="V279" s="91"/>
      <c r="W279" s="12" t="s">
        <v>515</v>
      </c>
      <c r="X279" s="103"/>
      <c r="Y279" s="6" t="s">
        <v>1165</v>
      </c>
      <c r="Z279" s="64" t="s">
        <v>517</v>
      </c>
      <c r="AA279" s="12">
        <v>11</v>
      </c>
      <c r="AB279" s="6" t="s">
        <v>148</v>
      </c>
      <c r="AC279" s="64">
        <v>3060</v>
      </c>
      <c r="AJ279" s="60"/>
      <c r="AK279" s="67" t="s">
        <v>518</v>
      </c>
      <c r="AN279" s="60"/>
      <c r="AO279" s="60"/>
      <c r="AP279" s="60"/>
      <c r="AQ279" s="60"/>
      <c r="AR279" s="72"/>
      <c r="AS279" s="60"/>
      <c r="AT279" s="7"/>
      <c r="AU279" s="7"/>
      <c r="AV279" s="92"/>
      <c r="AW279" s="93"/>
      <c r="AX279" s="77"/>
      <c r="AY279" s="80"/>
      <c r="AZ279" s="94"/>
      <c r="BA279" s="94"/>
      <c r="BB279" s="80" t="s">
        <v>519</v>
      </c>
      <c r="BC279" s="95"/>
      <c r="BD279" s="92"/>
      <c r="BE279" s="92"/>
      <c r="BF279" s="92"/>
      <c r="BG279" s="92"/>
      <c r="BH279" s="92"/>
      <c r="BI279" s="92"/>
      <c r="BJ279" s="92"/>
      <c r="BK279" s="92"/>
      <c r="BL279" s="92"/>
      <c r="BM279" s="92"/>
      <c r="BN279" s="92"/>
      <c r="BO279" s="92"/>
      <c r="BP279" s="92"/>
      <c r="BQ279" s="92"/>
      <c r="BS279" s="6"/>
      <c r="BT279" s="11"/>
      <c r="BU279" s="6"/>
      <c r="BV279" s="6"/>
    </row>
    <row r="280" spans="1:74" ht="15.75" x14ac:dyDescent="0.25">
      <c r="A280" s="50" t="s">
        <v>449</v>
      </c>
      <c r="B280" s="52"/>
      <c r="C280" s="7" t="s">
        <v>118</v>
      </c>
      <c r="D280" s="7" t="s">
        <v>1120</v>
      </c>
      <c r="E280" s="7"/>
      <c r="F280" s="55"/>
      <c r="G280" s="6"/>
      <c r="H280" s="6"/>
      <c r="I280" s="10" t="s">
        <v>110</v>
      </c>
      <c r="J280" s="11" t="s">
        <v>994</v>
      </c>
      <c r="K280" s="102" t="s">
        <v>377</v>
      </c>
      <c r="L280" s="98"/>
      <c r="M280" s="98">
        <v>1000</v>
      </c>
      <c r="N280" s="60" t="s">
        <v>1121</v>
      </c>
      <c r="O280" s="88"/>
      <c r="P280" s="60" t="s">
        <v>1166</v>
      </c>
      <c r="Q280" s="60"/>
      <c r="R280" s="60"/>
      <c r="S280" s="89"/>
      <c r="T280" s="106"/>
      <c r="U280" s="88"/>
      <c r="V280" s="91"/>
      <c r="W280" s="12" t="s">
        <v>515</v>
      </c>
      <c r="X280" s="103"/>
      <c r="Y280" s="6" t="s">
        <v>1165</v>
      </c>
      <c r="Z280" s="64" t="s">
        <v>522</v>
      </c>
      <c r="AA280" s="12">
        <v>11</v>
      </c>
      <c r="AB280" s="6" t="s">
        <v>148</v>
      </c>
      <c r="AC280" s="64">
        <v>3084</v>
      </c>
      <c r="AJ280" s="60"/>
      <c r="AK280" s="67" t="s">
        <v>450</v>
      </c>
      <c r="AN280" s="60"/>
      <c r="AO280" s="60"/>
      <c r="AP280" s="60"/>
      <c r="AQ280" s="60"/>
      <c r="AR280" s="72"/>
      <c r="AS280" s="60"/>
      <c r="AT280" s="7"/>
      <c r="AU280" s="7"/>
      <c r="AV280" s="92"/>
      <c r="AW280" s="93"/>
      <c r="AX280" s="77"/>
      <c r="AY280" s="80"/>
      <c r="AZ280" s="94"/>
      <c r="BA280" s="94"/>
      <c r="BB280" s="80" t="s">
        <v>519</v>
      </c>
      <c r="BC280" s="95"/>
      <c r="BD280" s="92"/>
      <c r="BE280" s="92"/>
      <c r="BF280" s="92"/>
      <c r="BG280" s="92"/>
      <c r="BH280" s="92"/>
      <c r="BI280" s="92"/>
      <c r="BJ280" s="92"/>
      <c r="BK280" s="92"/>
      <c r="BL280" s="92"/>
      <c r="BM280" s="92"/>
      <c r="BN280" s="92"/>
      <c r="BO280" s="92"/>
      <c r="BP280" s="92"/>
      <c r="BQ280" s="92"/>
      <c r="BS280" s="6"/>
      <c r="BT280" s="11"/>
      <c r="BU280" s="6"/>
      <c r="BV280" s="6"/>
    </row>
    <row r="281" spans="1:74" ht="15.75" x14ac:dyDescent="0.25">
      <c r="A281" s="50" t="s">
        <v>449</v>
      </c>
      <c r="B281" s="52"/>
      <c r="C281" s="7" t="s">
        <v>118</v>
      </c>
      <c r="D281" s="7" t="s">
        <v>1120</v>
      </c>
      <c r="E281" s="7"/>
      <c r="F281" s="55"/>
      <c r="G281" s="6"/>
      <c r="H281" s="6"/>
      <c r="I281" s="10" t="s">
        <v>110</v>
      </c>
      <c r="J281" s="11" t="s">
        <v>996</v>
      </c>
      <c r="K281" s="102" t="s">
        <v>377</v>
      </c>
      <c r="L281" s="98"/>
      <c r="M281" s="98">
        <v>1000</v>
      </c>
      <c r="N281" s="60" t="s">
        <v>1121</v>
      </c>
      <c r="O281" s="88"/>
      <c r="P281" s="60" t="s">
        <v>1167</v>
      </c>
      <c r="Q281" s="60"/>
      <c r="R281" s="60"/>
      <c r="S281" s="89"/>
      <c r="T281" s="106"/>
      <c r="U281" s="88"/>
      <c r="V281" s="91"/>
      <c r="W281" s="12" t="s">
        <v>515</v>
      </c>
      <c r="X281" s="103"/>
      <c r="Y281" s="6" t="s">
        <v>1168</v>
      </c>
      <c r="Z281" s="64" t="s">
        <v>517</v>
      </c>
      <c r="AA281" s="12">
        <v>12</v>
      </c>
      <c r="AB281" s="6" t="s">
        <v>148</v>
      </c>
      <c r="AC281" s="64">
        <v>3060</v>
      </c>
      <c r="AJ281" s="60"/>
      <c r="AK281" s="67" t="s">
        <v>518</v>
      </c>
      <c r="AN281" s="60"/>
      <c r="AO281" s="60"/>
      <c r="AP281" s="60"/>
      <c r="AQ281" s="60"/>
      <c r="AR281" s="72"/>
      <c r="AS281" s="60"/>
      <c r="AT281" s="7"/>
      <c r="AU281" s="7"/>
      <c r="AV281" s="92"/>
      <c r="AW281" s="93"/>
      <c r="AX281" s="77"/>
      <c r="AY281" s="80"/>
      <c r="AZ281" s="94"/>
      <c r="BA281" s="94"/>
      <c r="BB281" s="80" t="s">
        <v>519</v>
      </c>
      <c r="BC281" s="95"/>
      <c r="BD281" s="92"/>
      <c r="BE281" s="92"/>
      <c r="BF281" s="92"/>
      <c r="BG281" s="92"/>
      <c r="BH281" s="92"/>
      <c r="BI281" s="92"/>
      <c r="BJ281" s="92"/>
      <c r="BK281" s="92"/>
      <c r="BL281" s="92"/>
      <c r="BM281" s="92"/>
      <c r="BN281" s="92"/>
      <c r="BO281" s="92"/>
      <c r="BP281" s="92"/>
      <c r="BQ281" s="92"/>
      <c r="BS281" s="6"/>
      <c r="BT281" s="11"/>
      <c r="BU281" s="6"/>
      <c r="BV281" s="6"/>
    </row>
    <row r="282" spans="1:74" ht="15.75" x14ac:dyDescent="0.25">
      <c r="A282" s="50" t="s">
        <v>449</v>
      </c>
      <c r="B282" s="52"/>
      <c r="C282" s="7" t="s">
        <v>118</v>
      </c>
      <c r="D282" s="7" t="s">
        <v>1120</v>
      </c>
      <c r="E282" s="7"/>
      <c r="F282" s="55"/>
      <c r="G282" s="6"/>
      <c r="H282" s="6"/>
      <c r="I282" s="10" t="s">
        <v>110</v>
      </c>
      <c r="J282" s="11" t="s">
        <v>999</v>
      </c>
      <c r="K282" s="102" t="s">
        <v>377</v>
      </c>
      <c r="L282" s="98"/>
      <c r="M282" s="98">
        <v>1000</v>
      </c>
      <c r="N282" s="60" t="s">
        <v>1121</v>
      </c>
      <c r="O282" s="88"/>
      <c r="P282" s="60" t="s">
        <v>1169</v>
      </c>
      <c r="Q282" s="60"/>
      <c r="R282" s="60"/>
      <c r="S282" s="89"/>
      <c r="T282" s="106"/>
      <c r="U282" s="88"/>
      <c r="V282" s="91"/>
      <c r="W282" s="12" t="s">
        <v>515</v>
      </c>
      <c r="X282" s="103"/>
      <c r="Y282" s="6" t="s">
        <v>1168</v>
      </c>
      <c r="Z282" s="64" t="s">
        <v>522</v>
      </c>
      <c r="AA282" s="12">
        <v>12</v>
      </c>
      <c r="AB282" s="6" t="s">
        <v>148</v>
      </c>
      <c r="AC282" s="64">
        <v>3084</v>
      </c>
      <c r="AJ282" s="60"/>
      <c r="AK282" s="67" t="s">
        <v>450</v>
      </c>
      <c r="AN282" s="60"/>
      <c r="AO282" s="60"/>
      <c r="AP282" s="60"/>
      <c r="AQ282" s="60"/>
      <c r="AR282" s="72"/>
      <c r="AS282" s="60"/>
      <c r="AT282" s="7"/>
      <c r="AU282" s="7"/>
      <c r="AV282" s="92"/>
      <c r="AW282" s="93"/>
      <c r="AX282" s="77"/>
      <c r="AY282" s="80"/>
      <c r="AZ282" s="94"/>
      <c r="BA282" s="94"/>
      <c r="BB282" s="80" t="s">
        <v>519</v>
      </c>
      <c r="BC282" s="95"/>
      <c r="BD282" s="92"/>
      <c r="BE282" s="92"/>
      <c r="BF282" s="92"/>
      <c r="BG282" s="92"/>
      <c r="BH282" s="92"/>
      <c r="BI282" s="92"/>
      <c r="BJ282" s="92"/>
      <c r="BK282" s="92"/>
      <c r="BL282" s="92"/>
      <c r="BM282" s="92"/>
      <c r="BN282" s="92"/>
      <c r="BO282" s="92"/>
      <c r="BP282" s="92"/>
      <c r="BQ282" s="92"/>
      <c r="BS282" s="6"/>
      <c r="BT282" s="11"/>
      <c r="BU282" s="6"/>
      <c r="BV282" s="6"/>
    </row>
    <row r="283" spans="1:74" ht="15.75" x14ac:dyDescent="0.25">
      <c r="A283" s="50" t="s">
        <v>449</v>
      </c>
      <c r="B283" s="52"/>
      <c r="C283" s="7" t="s">
        <v>118</v>
      </c>
      <c r="D283" s="7" t="s">
        <v>1120</v>
      </c>
      <c r="E283" s="7"/>
      <c r="F283" s="55"/>
      <c r="G283" s="6"/>
      <c r="H283" s="6"/>
      <c r="I283" s="10" t="s">
        <v>110</v>
      </c>
      <c r="J283" s="11" t="s">
        <v>1001</v>
      </c>
      <c r="K283" s="102" t="s">
        <v>377</v>
      </c>
      <c r="L283" s="98"/>
      <c r="M283" s="98">
        <v>1000</v>
      </c>
      <c r="N283" s="60" t="s">
        <v>1121</v>
      </c>
      <c r="O283" s="88"/>
      <c r="P283" s="60" t="s">
        <v>1170</v>
      </c>
      <c r="Q283" s="60"/>
      <c r="R283" s="60"/>
      <c r="S283" s="89"/>
      <c r="T283" s="106"/>
      <c r="U283" s="88"/>
      <c r="V283" s="91"/>
      <c r="W283" s="12" t="s">
        <v>515</v>
      </c>
      <c r="X283" s="103"/>
      <c r="Y283" s="6" t="s">
        <v>1171</v>
      </c>
      <c r="Z283" s="64" t="s">
        <v>517</v>
      </c>
      <c r="AA283" s="12">
        <v>13</v>
      </c>
      <c r="AB283" s="6" t="s">
        <v>148</v>
      </c>
      <c r="AC283" s="64">
        <v>3060</v>
      </c>
      <c r="AJ283" s="60"/>
      <c r="AK283" s="67" t="s">
        <v>518</v>
      </c>
      <c r="AN283" s="60"/>
      <c r="AO283" s="60"/>
      <c r="AP283" s="60"/>
      <c r="AQ283" s="60"/>
      <c r="AR283" s="72"/>
      <c r="AS283" s="60"/>
      <c r="AT283" s="7"/>
      <c r="AU283" s="7"/>
      <c r="AV283" s="92"/>
      <c r="AW283" s="93"/>
      <c r="AX283" s="77"/>
      <c r="AY283" s="80"/>
      <c r="AZ283" s="94"/>
      <c r="BA283" s="94"/>
      <c r="BB283" s="80" t="s">
        <v>519</v>
      </c>
      <c r="BC283" s="95"/>
      <c r="BD283" s="92"/>
      <c r="BE283" s="92"/>
      <c r="BF283" s="92"/>
      <c r="BG283" s="92"/>
      <c r="BH283" s="92"/>
      <c r="BI283" s="92"/>
      <c r="BJ283" s="92"/>
      <c r="BK283" s="92"/>
      <c r="BL283" s="92"/>
      <c r="BM283" s="92"/>
      <c r="BN283" s="92"/>
      <c r="BO283" s="92"/>
      <c r="BP283" s="92"/>
      <c r="BQ283" s="92"/>
      <c r="BS283" s="6"/>
      <c r="BT283" s="11"/>
      <c r="BU283" s="6"/>
      <c r="BV283" s="6"/>
    </row>
    <row r="284" spans="1:74" ht="15.75" x14ac:dyDescent="0.25">
      <c r="A284" s="50" t="s">
        <v>449</v>
      </c>
      <c r="B284" s="52"/>
      <c r="C284" s="7" t="s">
        <v>118</v>
      </c>
      <c r="D284" s="7" t="s">
        <v>1120</v>
      </c>
      <c r="E284" s="7"/>
      <c r="F284" s="55"/>
      <c r="G284" s="6"/>
      <c r="H284" s="6"/>
      <c r="I284" s="10" t="s">
        <v>110</v>
      </c>
      <c r="J284" s="11" t="s">
        <v>1004</v>
      </c>
      <c r="K284" s="102" t="s">
        <v>377</v>
      </c>
      <c r="L284" s="98"/>
      <c r="M284" s="98">
        <v>1000</v>
      </c>
      <c r="N284" s="60" t="s">
        <v>1121</v>
      </c>
      <c r="O284" s="88"/>
      <c r="P284" s="60" t="s">
        <v>1172</v>
      </c>
      <c r="Q284" s="60"/>
      <c r="R284" s="60"/>
      <c r="S284" s="89"/>
      <c r="T284" s="106"/>
      <c r="U284" s="88"/>
      <c r="V284" s="91"/>
      <c r="W284" s="12" t="s">
        <v>515</v>
      </c>
      <c r="X284" s="103"/>
      <c r="Y284" s="6" t="s">
        <v>1171</v>
      </c>
      <c r="Z284" s="64" t="s">
        <v>522</v>
      </c>
      <c r="AA284" s="12">
        <v>13</v>
      </c>
      <c r="AB284" s="6" t="s">
        <v>148</v>
      </c>
      <c r="AC284" s="64">
        <v>3084</v>
      </c>
      <c r="AJ284" s="60"/>
      <c r="AK284" s="67" t="s">
        <v>450</v>
      </c>
      <c r="AN284" s="60"/>
      <c r="AO284" s="60"/>
      <c r="AP284" s="60"/>
      <c r="AQ284" s="60"/>
      <c r="AR284" s="72"/>
      <c r="AS284" s="60"/>
      <c r="AT284" s="7"/>
      <c r="AU284" s="7"/>
      <c r="AV284" s="92"/>
      <c r="AW284" s="93"/>
      <c r="AX284" s="77"/>
      <c r="AY284" s="80"/>
      <c r="AZ284" s="94"/>
      <c r="BA284" s="94"/>
      <c r="BB284" s="80" t="s">
        <v>519</v>
      </c>
      <c r="BC284" s="95"/>
      <c r="BD284" s="92"/>
      <c r="BE284" s="92"/>
      <c r="BF284" s="92"/>
      <c r="BG284" s="92"/>
      <c r="BH284" s="92"/>
      <c r="BI284" s="92"/>
      <c r="BJ284" s="92"/>
      <c r="BK284" s="92"/>
      <c r="BL284" s="92"/>
      <c r="BM284" s="92"/>
      <c r="BN284" s="92"/>
      <c r="BO284" s="92"/>
      <c r="BP284" s="92"/>
      <c r="BQ284" s="92"/>
      <c r="BS284" s="6"/>
      <c r="BT284" s="11"/>
      <c r="BU284" s="6"/>
      <c r="BV284" s="6"/>
    </row>
    <row r="285" spans="1:74" ht="15.75" x14ac:dyDescent="0.25">
      <c r="A285" s="50" t="s">
        <v>449</v>
      </c>
      <c r="B285" s="52"/>
      <c r="C285" s="7" t="s">
        <v>118</v>
      </c>
      <c r="D285" s="7" t="s">
        <v>1120</v>
      </c>
      <c r="E285" s="7"/>
      <c r="F285" s="55"/>
      <c r="G285" s="6"/>
      <c r="H285" s="6"/>
      <c r="I285" s="10" t="s">
        <v>110</v>
      </c>
      <c r="J285" s="11" t="s">
        <v>1006</v>
      </c>
      <c r="K285" s="102" t="s">
        <v>377</v>
      </c>
      <c r="L285" s="98"/>
      <c r="M285" s="98">
        <v>1000</v>
      </c>
      <c r="N285" s="60" t="s">
        <v>1121</v>
      </c>
      <c r="O285" s="88"/>
      <c r="P285" s="60" t="s">
        <v>646</v>
      </c>
      <c r="Q285" s="60"/>
      <c r="R285" s="60"/>
      <c r="S285" s="89"/>
      <c r="T285" s="106"/>
      <c r="U285" s="88"/>
      <c r="V285" s="91"/>
      <c r="W285" s="12" t="s">
        <v>515</v>
      </c>
      <c r="X285" s="103"/>
      <c r="Y285" s="6" t="s">
        <v>647</v>
      </c>
      <c r="Z285" s="64" t="s">
        <v>517</v>
      </c>
      <c r="AA285" s="12">
        <v>14</v>
      </c>
      <c r="AB285" s="6" t="s">
        <v>148</v>
      </c>
      <c r="AC285" s="64">
        <v>3060</v>
      </c>
      <c r="AJ285" s="60"/>
      <c r="AK285" s="67" t="s">
        <v>518</v>
      </c>
      <c r="AN285" s="60"/>
      <c r="AO285" s="60"/>
      <c r="AP285" s="60"/>
      <c r="AQ285" s="60"/>
      <c r="AR285" s="72"/>
      <c r="AS285" s="60"/>
      <c r="AT285" s="7"/>
      <c r="AU285" s="7"/>
      <c r="AV285" s="92"/>
      <c r="AW285" s="93"/>
      <c r="AX285" s="77"/>
      <c r="AY285" s="80"/>
      <c r="AZ285" s="94"/>
      <c r="BA285" s="94"/>
      <c r="BB285" s="80" t="s">
        <v>519</v>
      </c>
      <c r="BC285" s="95"/>
      <c r="BD285" s="92"/>
      <c r="BE285" s="92"/>
      <c r="BF285" s="92"/>
      <c r="BG285" s="92"/>
      <c r="BH285" s="92"/>
      <c r="BI285" s="92"/>
      <c r="BJ285" s="92"/>
      <c r="BK285" s="92"/>
      <c r="BL285" s="92"/>
      <c r="BM285" s="92"/>
      <c r="BN285" s="92"/>
      <c r="BO285" s="92"/>
      <c r="BP285" s="92"/>
      <c r="BQ285" s="92"/>
      <c r="BS285" s="6"/>
      <c r="BT285" s="11"/>
      <c r="BU285" s="6"/>
      <c r="BV285" s="6"/>
    </row>
    <row r="286" spans="1:74" ht="15.75" x14ac:dyDescent="0.25">
      <c r="A286" s="50" t="s">
        <v>449</v>
      </c>
      <c r="B286" s="52"/>
      <c r="C286" s="7" t="s">
        <v>118</v>
      </c>
      <c r="D286" s="7" t="s">
        <v>1120</v>
      </c>
      <c r="E286" s="7"/>
      <c r="F286" s="55"/>
      <c r="G286" s="6"/>
      <c r="H286" s="6"/>
      <c r="I286" s="10" t="s">
        <v>110</v>
      </c>
      <c r="J286" s="11" t="s">
        <v>1009</v>
      </c>
      <c r="K286" s="102" t="s">
        <v>377</v>
      </c>
      <c r="L286" s="98"/>
      <c r="M286" s="98">
        <v>1000</v>
      </c>
      <c r="N286" s="60" t="s">
        <v>1121</v>
      </c>
      <c r="O286" s="88"/>
      <c r="P286" s="60" t="s">
        <v>648</v>
      </c>
      <c r="Q286" s="60"/>
      <c r="R286" s="60"/>
      <c r="S286" s="89"/>
      <c r="T286" s="106"/>
      <c r="U286" s="88"/>
      <c r="V286" s="91"/>
      <c r="W286" s="12" t="s">
        <v>515</v>
      </c>
      <c r="X286" s="103"/>
      <c r="Y286" s="6" t="s">
        <v>647</v>
      </c>
      <c r="Z286" s="64" t="s">
        <v>522</v>
      </c>
      <c r="AA286" s="12">
        <v>14</v>
      </c>
      <c r="AB286" s="6" t="s">
        <v>148</v>
      </c>
      <c r="AC286" s="64">
        <v>3084</v>
      </c>
      <c r="AJ286" s="60"/>
      <c r="AK286" s="67" t="s">
        <v>450</v>
      </c>
      <c r="AN286" s="60"/>
      <c r="AO286" s="60"/>
      <c r="AP286" s="60"/>
      <c r="AQ286" s="60"/>
      <c r="AR286" s="72"/>
      <c r="AS286" s="60"/>
      <c r="AT286" s="7"/>
      <c r="AU286" s="7"/>
      <c r="AV286" s="92"/>
      <c r="AW286" s="93"/>
      <c r="AX286" s="77"/>
      <c r="AY286" s="80"/>
      <c r="AZ286" s="94"/>
      <c r="BA286" s="94"/>
      <c r="BB286" s="80" t="s">
        <v>519</v>
      </c>
      <c r="BC286" s="95"/>
      <c r="BD286" s="92"/>
      <c r="BE286" s="92"/>
      <c r="BF286" s="92"/>
      <c r="BG286" s="92"/>
      <c r="BH286" s="92"/>
      <c r="BI286" s="92"/>
      <c r="BJ286" s="92"/>
      <c r="BK286" s="92"/>
      <c r="BL286" s="92"/>
      <c r="BM286" s="92"/>
      <c r="BN286" s="92"/>
      <c r="BO286" s="92"/>
      <c r="BP286" s="92"/>
      <c r="BQ286" s="92"/>
      <c r="BS286" s="6"/>
      <c r="BT286" s="11"/>
      <c r="BU286" s="6"/>
      <c r="BV286" s="6"/>
    </row>
    <row r="287" spans="1:74" ht="15.75" x14ac:dyDescent="0.25">
      <c r="A287" s="50" t="s">
        <v>449</v>
      </c>
      <c r="B287" s="52"/>
      <c r="C287" s="7" t="s">
        <v>118</v>
      </c>
      <c r="D287" s="7" t="s">
        <v>1120</v>
      </c>
      <c r="E287" s="7"/>
      <c r="F287" s="55"/>
      <c r="G287" s="6"/>
      <c r="H287" s="6"/>
      <c r="I287" s="10" t="s">
        <v>110</v>
      </c>
      <c r="J287" s="11" t="s">
        <v>1011</v>
      </c>
      <c r="K287" s="102" t="s">
        <v>377</v>
      </c>
      <c r="L287" s="98"/>
      <c r="M287" s="98">
        <v>1000</v>
      </c>
      <c r="N287" s="60" t="s">
        <v>1121</v>
      </c>
      <c r="O287" s="88"/>
      <c r="P287" s="60" t="s">
        <v>1173</v>
      </c>
      <c r="Q287" s="60"/>
      <c r="R287" s="60"/>
      <c r="S287" s="89"/>
      <c r="T287" s="106"/>
      <c r="U287" s="88"/>
      <c r="V287" s="91"/>
      <c r="W287" s="12" t="s">
        <v>515</v>
      </c>
      <c r="X287" s="103"/>
      <c r="Y287" s="6" t="s">
        <v>1174</v>
      </c>
      <c r="Z287" s="64" t="s">
        <v>517</v>
      </c>
      <c r="AA287" s="12">
        <v>15</v>
      </c>
      <c r="AB287" s="6" t="s">
        <v>148</v>
      </c>
      <c r="AC287" s="64">
        <v>3060</v>
      </c>
      <c r="AJ287" s="60"/>
      <c r="AK287" s="67" t="s">
        <v>518</v>
      </c>
      <c r="AN287" s="60"/>
      <c r="AO287" s="60"/>
      <c r="AP287" s="60"/>
      <c r="AQ287" s="60"/>
      <c r="AR287" s="72"/>
      <c r="AS287" s="60"/>
      <c r="AT287" s="7"/>
      <c r="AU287" s="7"/>
      <c r="AV287" s="92"/>
      <c r="AW287" s="93"/>
      <c r="AX287" s="77"/>
      <c r="AY287" s="80"/>
      <c r="AZ287" s="94"/>
      <c r="BA287" s="94"/>
      <c r="BB287" s="80" t="s">
        <v>519</v>
      </c>
      <c r="BC287" s="95"/>
      <c r="BD287" s="92"/>
      <c r="BE287" s="92"/>
      <c r="BF287" s="92"/>
      <c r="BG287" s="92"/>
      <c r="BH287" s="92"/>
      <c r="BI287" s="92"/>
      <c r="BJ287" s="92"/>
      <c r="BK287" s="92"/>
      <c r="BL287" s="92"/>
      <c r="BM287" s="92"/>
      <c r="BN287" s="92"/>
      <c r="BO287" s="92"/>
      <c r="BP287" s="92"/>
      <c r="BQ287" s="92"/>
      <c r="BS287" s="6"/>
      <c r="BT287" s="11"/>
      <c r="BU287" s="6"/>
      <c r="BV287" s="6"/>
    </row>
    <row r="288" spans="1:74" ht="15.75" x14ac:dyDescent="0.25">
      <c r="A288" s="50" t="s">
        <v>449</v>
      </c>
      <c r="B288" s="52"/>
      <c r="C288" s="7" t="s">
        <v>118</v>
      </c>
      <c r="D288" s="7" t="s">
        <v>1120</v>
      </c>
      <c r="E288" s="7"/>
      <c r="F288" s="55"/>
      <c r="G288" s="6"/>
      <c r="H288" s="6"/>
      <c r="I288" s="10" t="s">
        <v>110</v>
      </c>
      <c r="J288" s="11" t="s">
        <v>1014</v>
      </c>
      <c r="K288" s="102" t="s">
        <v>377</v>
      </c>
      <c r="L288" s="98"/>
      <c r="M288" s="98">
        <v>1000</v>
      </c>
      <c r="N288" s="60" t="s">
        <v>1121</v>
      </c>
      <c r="O288" s="88"/>
      <c r="P288" s="60" t="s">
        <v>1175</v>
      </c>
      <c r="Q288" s="60"/>
      <c r="R288" s="60"/>
      <c r="S288" s="89"/>
      <c r="T288" s="106"/>
      <c r="U288" s="88"/>
      <c r="V288" s="91"/>
      <c r="W288" s="12" t="s">
        <v>515</v>
      </c>
      <c r="X288" s="103"/>
      <c r="Y288" s="6" t="s">
        <v>1174</v>
      </c>
      <c r="Z288" s="64" t="s">
        <v>522</v>
      </c>
      <c r="AA288" s="12">
        <v>15</v>
      </c>
      <c r="AB288" s="6" t="s">
        <v>148</v>
      </c>
      <c r="AC288" s="64">
        <v>3084</v>
      </c>
      <c r="AJ288" s="60"/>
      <c r="AK288" s="67" t="s">
        <v>450</v>
      </c>
      <c r="AN288" s="60"/>
      <c r="AO288" s="60"/>
      <c r="AP288" s="60"/>
      <c r="AQ288" s="60"/>
      <c r="AR288" s="72"/>
      <c r="AS288" s="60"/>
      <c r="AT288" s="7"/>
      <c r="AU288" s="7"/>
      <c r="AV288" s="92"/>
      <c r="AW288" s="93"/>
      <c r="AX288" s="77"/>
      <c r="AY288" s="80"/>
      <c r="AZ288" s="94"/>
      <c r="BA288" s="94"/>
      <c r="BB288" s="80" t="s">
        <v>519</v>
      </c>
      <c r="BC288" s="95"/>
      <c r="BD288" s="92"/>
      <c r="BE288" s="92"/>
      <c r="BF288" s="92"/>
      <c r="BG288" s="92"/>
      <c r="BH288" s="92"/>
      <c r="BI288" s="92"/>
      <c r="BJ288" s="92"/>
      <c r="BK288" s="92"/>
      <c r="BL288" s="92"/>
      <c r="BM288" s="92"/>
      <c r="BN288" s="92"/>
      <c r="BO288" s="92"/>
      <c r="BP288" s="92"/>
      <c r="BQ288" s="92"/>
      <c r="BS288" s="6"/>
      <c r="BT288" s="11"/>
      <c r="BU288" s="6"/>
      <c r="BV288" s="6"/>
    </row>
    <row r="289" spans="1:74" ht="15.75" x14ac:dyDescent="0.25">
      <c r="A289" s="50" t="s">
        <v>449</v>
      </c>
      <c r="B289" s="52"/>
      <c r="C289" s="7" t="s">
        <v>118</v>
      </c>
      <c r="D289" s="7" t="s">
        <v>1120</v>
      </c>
      <c r="E289" s="7"/>
      <c r="F289" s="55"/>
      <c r="G289" s="6"/>
      <c r="H289" s="6"/>
      <c r="I289" s="10" t="s">
        <v>110</v>
      </c>
      <c r="J289" s="11" t="s">
        <v>1016</v>
      </c>
      <c r="K289" s="102" t="s">
        <v>377</v>
      </c>
      <c r="L289" s="98"/>
      <c r="M289" s="98">
        <v>1000</v>
      </c>
      <c r="N289" s="60" t="s">
        <v>1121</v>
      </c>
      <c r="O289" s="88"/>
      <c r="P289" s="60" t="s">
        <v>1176</v>
      </c>
      <c r="Q289" s="60"/>
      <c r="R289" s="60"/>
      <c r="S289" s="89"/>
      <c r="T289" s="106"/>
      <c r="U289" s="88"/>
      <c r="V289" s="91"/>
      <c r="W289" s="12" t="s">
        <v>515</v>
      </c>
      <c r="X289" s="103"/>
      <c r="Y289" s="6" t="s">
        <v>1177</v>
      </c>
      <c r="Z289" s="64" t="s">
        <v>517</v>
      </c>
      <c r="AA289" s="12">
        <v>16</v>
      </c>
      <c r="AB289" s="6" t="s">
        <v>148</v>
      </c>
      <c r="AC289" s="64">
        <v>3060</v>
      </c>
      <c r="AJ289" s="60"/>
      <c r="AK289" s="67" t="s">
        <v>518</v>
      </c>
      <c r="AN289" s="60"/>
      <c r="AO289" s="60"/>
      <c r="AP289" s="60"/>
      <c r="AQ289" s="60"/>
      <c r="AR289" s="72"/>
      <c r="AS289" s="60"/>
      <c r="AT289" s="7"/>
      <c r="AU289" s="7"/>
      <c r="AV289" s="92"/>
      <c r="AW289" s="93"/>
      <c r="AX289" s="77"/>
      <c r="AY289" s="80"/>
      <c r="AZ289" s="94"/>
      <c r="BA289" s="94"/>
      <c r="BB289" s="80" t="s">
        <v>519</v>
      </c>
      <c r="BC289" s="95"/>
      <c r="BD289" s="92"/>
      <c r="BE289" s="92"/>
      <c r="BF289" s="92"/>
      <c r="BG289" s="92"/>
      <c r="BH289" s="92"/>
      <c r="BI289" s="92"/>
      <c r="BJ289" s="92"/>
      <c r="BK289" s="92"/>
      <c r="BL289" s="92"/>
      <c r="BM289" s="92"/>
      <c r="BN289" s="92"/>
      <c r="BO289" s="92"/>
      <c r="BP289" s="92"/>
      <c r="BQ289" s="92"/>
      <c r="BS289" s="6"/>
      <c r="BT289" s="11"/>
      <c r="BU289" s="6"/>
      <c r="BV289" s="6"/>
    </row>
    <row r="290" spans="1:74" ht="15.75" x14ac:dyDescent="0.25">
      <c r="A290" s="50" t="s">
        <v>449</v>
      </c>
      <c r="B290" s="52"/>
      <c r="C290" s="7" t="s">
        <v>118</v>
      </c>
      <c r="D290" s="7" t="s">
        <v>1120</v>
      </c>
      <c r="E290" s="7"/>
      <c r="F290" s="55"/>
      <c r="G290" s="6"/>
      <c r="H290" s="6"/>
      <c r="I290" s="10" t="s">
        <v>110</v>
      </c>
      <c r="J290" s="11" t="s">
        <v>1019</v>
      </c>
      <c r="K290" s="102" t="s">
        <v>377</v>
      </c>
      <c r="L290" s="98"/>
      <c r="M290" s="98">
        <v>1000</v>
      </c>
      <c r="N290" s="60" t="s">
        <v>1121</v>
      </c>
      <c r="O290" s="88"/>
      <c r="P290" s="60" t="s">
        <v>1178</v>
      </c>
      <c r="Q290" s="60"/>
      <c r="R290" s="60"/>
      <c r="S290" s="89"/>
      <c r="T290" s="106"/>
      <c r="U290" s="88"/>
      <c r="V290" s="91"/>
      <c r="W290" s="12" t="s">
        <v>515</v>
      </c>
      <c r="X290" s="103"/>
      <c r="Y290" s="6" t="s">
        <v>1177</v>
      </c>
      <c r="Z290" s="64" t="s">
        <v>522</v>
      </c>
      <c r="AA290" s="12">
        <v>16</v>
      </c>
      <c r="AB290" s="6" t="s">
        <v>148</v>
      </c>
      <c r="AC290" s="64">
        <v>3084</v>
      </c>
      <c r="AJ290" s="60"/>
      <c r="AK290" s="67" t="s">
        <v>450</v>
      </c>
      <c r="AN290" s="60"/>
      <c r="AO290" s="60"/>
      <c r="AP290" s="60"/>
      <c r="AQ290" s="60"/>
      <c r="AR290" s="72"/>
      <c r="AS290" s="60"/>
      <c r="AT290" s="7"/>
      <c r="AU290" s="7"/>
      <c r="AV290" s="92"/>
      <c r="AW290" s="93"/>
      <c r="AX290" s="77"/>
      <c r="AY290" s="80"/>
      <c r="AZ290" s="94"/>
      <c r="BA290" s="94"/>
      <c r="BB290" s="80" t="s">
        <v>519</v>
      </c>
      <c r="BC290" s="95"/>
      <c r="BD290" s="92"/>
      <c r="BE290" s="92"/>
      <c r="BF290" s="92"/>
      <c r="BG290" s="92"/>
      <c r="BH290" s="92"/>
      <c r="BI290" s="92"/>
      <c r="BJ290" s="92"/>
      <c r="BK290" s="92"/>
      <c r="BL290" s="92"/>
      <c r="BM290" s="92"/>
      <c r="BN290" s="92"/>
      <c r="BO290" s="92"/>
      <c r="BP290" s="92"/>
      <c r="BQ290" s="92"/>
      <c r="BS290" s="6"/>
      <c r="BT290" s="11"/>
      <c r="BU290" s="6"/>
      <c r="BV290" s="6"/>
    </row>
    <row r="291" spans="1:74" ht="15.75" x14ac:dyDescent="0.25">
      <c r="A291" s="50" t="s">
        <v>449</v>
      </c>
      <c r="B291" s="52"/>
      <c r="C291" s="7" t="s">
        <v>118</v>
      </c>
      <c r="D291" s="7" t="s">
        <v>1120</v>
      </c>
      <c r="E291" s="7"/>
      <c r="F291" s="55"/>
      <c r="G291" s="6"/>
      <c r="H291" s="6"/>
      <c r="I291" s="10" t="s">
        <v>110</v>
      </c>
      <c r="J291" s="11" t="s">
        <v>1021</v>
      </c>
      <c r="K291" s="102" t="s">
        <v>377</v>
      </c>
      <c r="L291" s="98"/>
      <c r="M291" s="98">
        <v>1000</v>
      </c>
      <c r="N291" s="60" t="s">
        <v>1121</v>
      </c>
      <c r="O291" s="88"/>
      <c r="P291" s="60" t="s">
        <v>1179</v>
      </c>
      <c r="Q291" s="60"/>
      <c r="R291" s="60"/>
      <c r="S291" s="89"/>
      <c r="T291" s="106"/>
      <c r="U291" s="88"/>
      <c r="V291" s="91"/>
      <c r="W291" s="12" t="s">
        <v>515</v>
      </c>
      <c r="X291" s="103"/>
      <c r="Y291" s="6" t="s">
        <v>1180</v>
      </c>
      <c r="Z291" s="64" t="s">
        <v>517</v>
      </c>
      <c r="AA291" s="12">
        <v>17</v>
      </c>
      <c r="AB291" s="6" t="s">
        <v>148</v>
      </c>
      <c r="AC291" s="64">
        <v>3060</v>
      </c>
      <c r="AJ291" s="60"/>
      <c r="AK291" s="67" t="s">
        <v>518</v>
      </c>
      <c r="AN291" s="60"/>
      <c r="AO291" s="60"/>
      <c r="AP291" s="60"/>
      <c r="AQ291" s="60"/>
      <c r="AR291" s="72"/>
      <c r="AS291" s="60"/>
      <c r="AT291" s="7"/>
      <c r="AU291" s="7"/>
      <c r="AV291" s="92"/>
      <c r="AW291" s="93"/>
      <c r="AX291" s="77"/>
      <c r="AY291" s="80"/>
      <c r="AZ291" s="94"/>
      <c r="BA291" s="94"/>
      <c r="BB291" s="80" t="s">
        <v>519</v>
      </c>
      <c r="BC291" s="95"/>
      <c r="BD291" s="92"/>
      <c r="BE291" s="92"/>
      <c r="BF291" s="92"/>
      <c r="BG291" s="92"/>
      <c r="BH291" s="92"/>
      <c r="BI291" s="92"/>
      <c r="BJ291" s="92"/>
      <c r="BK291" s="92"/>
      <c r="BL291" s="92"/>
      <c r="BM291" s="92"/>
      <c r="BN291" s="92"/>
      <c r="BO291" s="92"/>
      <c r="BP291" s="92"/>
      <c r="BQ291" s="92"/>
      <c r="BS291" s="6"/>
      <c r="BT291" s="11"/>
      <c r="BU291" s="6"/>
      <c r="BV291" s="6"/>
    </row>
    <row r="292" spans="1:74" ht="15.75" x14ac:dyDescent="0.25">
      <c r="A292" s="50" t="s">
        <v>449</v>
      </c>
      <c r="B292" s="52"/>
      <c r="C292" s="7" t="s">
        <v>118</v>
      </c>
      <c r="D292" s="7" t="s">
        <v>1120</v>
      </c>
      <c r="E292" s="7"/>
      <c r="F292" s="55"/>
      <c r="G292" s="6"/>
      <c r="H292" s="6"/>
      <c r="I292" s="10" t="s">
        <v>110</v>
      </c>
      <c r="J292" s="11" t="s">
        <v>1024</v>
      </c>
      <c r="K292" s="102" t="s">
        <v>377</v>
      </c>
      <c r="L292" s="98"/>
      <c r="M292" s="98">
        <v>1000</v>
      </c>
      <c r="N292" s="60" t="s">
        <v>1121</v>
      </c>
      <c r="O292" s="88"/>
      <c r="P292" s="60" t="s">
        <v>1181</v>
      </c>
      <c r="Q292" s="60"/>
      <c r="R292" s="60"/>
      <c r="S292" s="89"/>
      <c r="T292" s="106"/>
      <c r="U292" s="88"/>
      <c r="V292" s="91"/>
      <c r="W292" s="12" t="s">
        <v>515</v>
      </c>
      <c r="X292" s="103"/>
      <c r="Y292" s="6" t="s">
        <v>1180</v>
      </c>
      <c r="Z292" s="64" t="s">
        <v>522</v>
      </c>
      <c r="AA292" s="12">
        <v>17</v>
      </c>
      <c r="AB292" s="6" t="s">
        <v>148</v>
      </c>
      <c r="AC292" s="64">
        <v>3084</v>
      </c>
      <c r="AJ292" s="60"/>
      <c r="AK292" s="67" t="s">
        <v>450</v>
      </c>
      <c r="AN292" s="60"/>
      <c r="AO292" s="60"/>
      <c r="AP292" s="60"/>
      <c r="AQ292" s="60"/>
      <c r="AR292" s="72"/>
      <c r="AS292" s="60"/>
      <c r="AT292" s="7"/>
      <c r="AU292" s="7"/>
      <c r="AV292" s="92"/>
      <c r="AW292" s="93"/>
      <c r="AX292" s="77"/>
      <c r="AY292" s="80"/>
      <c r="AZ292" s="94"/>
      <c r="BA292" s="94"/>
      <c r="BB292" s="80" t="s">
        <v>519</v>
      </c>
      <c r="BC292" s="95"/>
      <c r="BD292" s="92"/>
      <c r="BE292" s="92"/>
      <c r="BF292" s="92"/>
      <c r="BG292" s="92"/>
      <c r="BH292" s="92"/>
      <c r="BI292" s="92"/>
      <c r="BJ292" s="92"/>
      <c r="BK292" s="92"/>
      <c r="BL292" s="92"/>
      <c r="BM292" s="92"/>
      <c r="BN292" s="92"/>
      <c r="BO292" s="92"/>
      <c r="BP292" s="92"/>
      <c r="BQ292" s="92"/>
      <c r="BS292" s="6"/>
      <c r="BT292" s="11"/>
      <c r="BU292" s="6"/>
      <c r="BV292" s="6"/>
    </row>
    <row r="293" spans="1:74" ht="15.75" x14ac:dyDescent="0.25">
      <c r="A293" s="50" t="s">
        <v>449</v>
      </c>
      <c r="B293" s="52"/>
      <c r="C293" s="7" t="s">
        <v>118</v>
      </c>
      <c r="D293" s="7" t="s">
        <v>1120</v>
      </c>
      <c r="E293" s="7"/>
      <c r="F293" s="55"/>
      <c r="G293" s="6"/>
      <c r="H293" s="6"/>
      <c r="I293" s="10" t="s">
        <v>110</v>
      </c>
      <c r="J293" s="11" t="s">
        <v>1026</v>
      </c>
      <c r="K293" s="102" t="s">
        <v>377</v>
      </c>
      <c r="L293" s="98"/>
      <c r="M293" s="98">
        <v>1000</v>
      </c>
      <c r="N293" s="60" t="s">
        <v>1121</v>
      </c>
      <c r="O293" s="88"/>
      <c r="P293" s="60" t="s">
        <v>1182</v>
      </c>
      <c r="Q293" s="60"/>
      <c r="R293" s="60"/>
      <c r="S293" s="89"/>
      <c r="T293" s="106"/>
      <c r="U293" s="88"/>
      <c r="V293" s="91"/>
      <c r="W293" s="12" t="s">
        <v>515</v>
      </c>
      <c r="X293" s="103"/>
      <c r="Y293" s="6" t="s">
        <v>1183</v>
      </c>
      <c r="Z293" s="64" t="s">
        <v>517</v>
      </c>
      <c r="AA293" s="12">
        <v>18</v>
      </c>
      <c r="AB293" s="6" t="s">
        <v>148</v>
      </c>
      <c r="AC293" s="64">
        <v>3060</v>
      </c>
      <c r="AJ293" s="60"/>
      <c r="AK293" s="67" t="s">
        <v>518</v>
      </c>
      <c r="AN293" s="60"/>
      <c r="AO293" s="60"/>
      <c r="AP293" s="60"/>
      <c r="AQ293" s="60"/>
      <c r="AR293" s="72"/>
      <c r="AS293" s="60"/>
      <c r="AT293" s="7"/>
      <c r="AU293" s="7"/>
      <c r="AV293" s="92"/>
      <c r="AW293" s="93"/>
      <c r="AX293" s="77"/>
      <c r="AY293" s="80"/>
      <c r="AZ293" s="94"/>
      <c r="BA293" s="94"/>
      <c r="BB293" s="80" t="s">
        <v>519</v>
      </c>
      <c r="BC293" s="95"/>
      <c r="BD293" s="92"/>
      <c r="BE293" s="92"/>
      <c r="BF293" s="92"/>
      <c r="BG293" s="92"/>
      <c r="BH293" s="92"/>
      <c r="BI293" s="92"/>
      <c r="BJ293" s="92"/>
      <c r="BK293" s="92"/>
      <c r="BL293" s="92"/>
      <c r="BM293" s="92"/>
      <c r="BN293" s="92"/>
      <c r="BO293" s="92"/>
      <c r="BP293" s="92"/>
      <c r="BQ293" s="92"/>
      <c r="BS293" s="6"/>
      <c r="BT293" s="11"/>
      <c r="BU293" s="6"/>
      <c r="BV293" s="6"/>
    </row>
    <row r="294" spans="1:74" ht="15.75" x14ac:dyDescent="0.25">
      <c r="A294" s="50" t="s">
        <v>449</v>
      </c>
      <c r="B294" s="52"/>
      <c r="C294" s="7" t="s">
        <v>118</v>
      </c>
      <c r="D294" s="7" t="s">
        <v>1120</v>
      </c>
      <c r="E294" s="7"/>
      <c r="F294" s="55"/>
      <c r="G294" s="6"/>
      <c r="H294" s="6"/>
      <c r="I294" s="10" t="s">
        <v>110</v>
      </c>
      <c r="J294" s="11" t="s">
        <v>1029</v>
      </c>
      <c r="K294" s="102" t="s">
        <v>377</v>
      </c>
      <c r="L294" s="98"/>
      <c r="M294" s="98">
        <v>1000</v>
      </c>
      <c r="N294" s="60" t="s">
        <v>1121</v>
      </c>
      <c r="O294" s="88"/>
      <c r="P294" s="60" t="s">
        <v>1184</v>
      </c>
      <c r="Q294" s="60"/>
      <c r="R294" s="60"/>
      <c r="S294" s="89"/>
      <c r="T294" s="106"/>
      <c r="U294" s="88"/>
      <c r="V294" s="91"/>
      <c r="W294" s="12" t="s">
        <v>515</v>
      </c>
      <c r="X294" s="103"/>
      <c r="Y294" s="6" t="s">
        <v>1183</v>
      </c>
      <c r="Z294" s="64" t="s">
        <v>522</v>
      </c>
      <c r="AA294" s="12">
        <v>18</v>
      </c>
      <c r="AB294" s="6" t="s">
        <v>148</v>
      </c>
      <c r="AC294" s="64">
        <v>3084</v>
      </c>
      <c r="AJ294" s="60"/>
      <c r="AK294" s="67" t="s">
        <v>450</v>
      </c>
      <c r="AN294" s="60"/>
      <c r="AO294" s="60"/>
      <c r="AP294" s="60"/>
      <c r="AQ294" s="60"/>
      <c r="AR294" s="72"/>
      <c r="AS294" s="60"/>
      <c r="AT294" s="7"/>
      <c r="AU294" s="7"/>
      <c r="AV294" s="92"/>
      <c r="AW294" s="93"/>
      <c r="AX294" s="77"/>
      <c r="AY294" s="80"/>
      <c r="AZ294" s="94"/>
      <c r="BA294" s="94"/>
      <c r="BB294" s="80" t="s">
        <v>519</v>
      </c>
      <c r="BC294" s="95"/>
      <c r="BD294" s="92"/>
      <c r="BE294" s="92"/>
      <c r="BF294" s="92"/>
      <c r="BG294" s="92"/>
      <c r="BH294" s="92"/>
      <c r="BI294" s="92"/>
      <c r="BJ294" s="92"/>
      <c r="BK294" s="92"/>
      <c r="BL294" s="92"/>
      <c r="BM294" s="92"/>
      <c r="BN294" s="92"/>
      <c r="BO294" s="92"/>
      <c r="BP294" s="92"/>
      <c r="BQ294" s="92"/>
      <c r="BS294" s="6"/>
      <c r="BT294" s="11"/>
      <c r="BU294" s="6"/>
      <c r="BV294" s="6"/>
    </row>
    <row r="295" spans="1:74" ht="15.75" x14ac:dyDescent="0.25">
      <c r="A295" s="50" t="s">
        <v>449</v>
      </c>
      <c r="B295" s="52"/>
      <c r="C295" s="7" t="s">
        <v>118</v>
      </c>
      <c r="D295" s="7" t="s">
        <v>1120</v>
      </c>
      <c r="E295" s="7"/>
      <c r="F295" s="55"/>
      <c r="G295" s="6"/>
      <c r="H295" s="6"/>
      <c r="I295" s="10" t="s">
        <v>110</v>
      </c>
      <c r="J295" s="11" t="s">
        <v>1091</v>
      </c>
      <c r="K295" s="102" t="s">
        <v>377</v>
      </c>
      <c r="L295" s="98"/>
      <c r="M295" s="98">
        <v>1000</v>
      </c>
      <c r="N295" s="60" t="s">
        <v>1121</v>
      </c>
      <c r="O295" s="88"/>
      <c r="P295" s="60" t="s">
        <v>1185</v>
      </c>
      <c r="Q295" s="60"/>
      <c r="R295" s="60"/>
      <c r="S295" s="89"/>
      <c r="T295" s="106"/>
      <c r="U295" s="88"/>
      <c r="V295" s="91"/>
      <c r="W295" s="12" t="s">
        <v>515</v>
      </c>
      <c r="X295" s="103"/>
      <c r="Y295" s="6" t="s">
        <v>1186</v>
      </c>
      <c r="Z295" s="64" t="s">
        <v>517</v>
      </c>
      <c r="AA295" s="12">
        <v>19</v>
      </c>
      <c r="AB295" s="6" t="s">
        <v>148</v>
      </c>
      <c r="AC295" s="64">
        <v>3060</v>
      </c>
      <c r="AJ295" s="60"/>
      <c r="AK295" s="67" t="s">
        <v>518</v>
      </c>
      <c r="AN295" s="60"/>
      <c r="AO295" s="60"/>
      <c r="AP295" s="60"/>
      <c r="AQ295" s="60"/>
      <c r="AR295" s="72"/>
      <c r="AS295" s="60"/>
      <c r="AT295" s="7"/>
      <c r="AU295" s="7"/>
      <c r="AV295" s="92"/>
      <c r="AW295" s="93"/>
      <c r="AX295" s="77"/>
      <c r="AY295" s="80"/>
      <c r="AZ295" s="94"/>
      <c r="BA295" s="94"/>
      <c r="BB295" s="80" t="s">
        <v>519</v>
      </c>
      <c r="BC295" s="95"/>
      <c r="BD295" s="92"/>
      <c r="BE295" s="92"/>
      <c r="BF295" s="92"/>
      <c r="BG295" s="92"/>
      <c r="BH295" s="92"/>
      <c r="BI295" s="92"/>
      <c r="BJ295" s="92"/>
      <c r="BK295" s="92"/>
      <c r="BL295" s="92"/>
      <c r="BM295" s="92"/>
      <c r="BN295" s="92"/>
      <c r="BO295" s="92"/>
      <c r="BP295" s="92"/>
      <c r="BQ295" s="92"/>
      <c r="BS295" s="6"/>
      <c r="BT295" s="11"/>
      <c r="BU295" s="6"/>
      <c r="BV295" s="6"/>
    </row>
    <row r="296" spans="1:74" ht="15.75" x14ac:dyDescent="0.25">
      <c r="A296" s="50" t="s">
        <v>449</v>
      </c>
      <c r="B296" s="52"/>
      <c r="C296" s="7" t="s">
        <v>118</v>
      </c>
      <c r="D296" s="7" t="s">
        <v>1120</v>
      </c>
      <c r="E296" s="7"/>
      <c r="F296" s="55"/>
      <c r="G296" s="6"/>
      <c r="H296" s="6"/>
      <c r="I296" s="10" t="s">
        <v>110</v>
      </c>
      <c r="J296" s="11" t="s">
        <v>1092</v>
      </c>
      <c r="K296" s="102" t="s">
        <v>377</v>
      </c>
      <c r="L296" s="98"/>
      <c r="M296" s="98">
        <v>1000</v>
      </c>
      <c r="N296" s="60" t="s">
        <v>1121</v>
      </c>
      <c r="O296" s="88"/>
      <c r="P296" s="60" t="s">
        <v>1187</v>
      </c>
      <c r="Q296" s="60"/>
      <c r="R296" s="60"/>
      <c r="S296" s="89"/>
      <c r="T296" s="106"/>
      <c r="U296" s="88"/>
      <c r="V296" s="91"/>
      <c r="W296" s="12" t="s">
        <v>515</v>
      </c>
      <c r="X296" s="103"/>
      <c r="Y296" s="6" t="s">
        <v>1186</v>
      </c>
      <c r="Z296" s="64" t="s">
        <v>522</v>
      </c>
      <c r="AA296" s="12">
        <v>19</v>
      </c>
      <c r="AB296" s="6" t="s">
        <v>148</v>
      </c>
      <c r="AC296" s="64">
        <v>3084</v>
      </c>
      <c r="AJ296" s="60"/>
      <c r="AK296" s="67" t="s">
        <v>450</v>
      </c>
      <c r="AN296" s="60"/>
      <c r="AO296" s="60"/>
      <c r="AP296" s="60"/>
      <c r="AQ296" s="60"/>
      <c r="AR296" s="72"/>
      <c r="AS296" s="60"/>
      <c r="AT296" s="7"/>
      <c r="AU296" s="7"/>
      <c r="AV296" s="92"/>
      <c r="AW296" s="93"/>
      <c r="AX296" s="77"/>
      <c r="AY296" s="80"/>
      <c r="AZ296" s="94"/>
      <c r="BA296" s="94"/>
      <c r="BB296" s="80" t="s">
        <v>519</v>
      </c>
      <c r="BC296" s="95"/>
      <c r="BD296" s="92"/>
      <c r="BE296" s="92"/>
      <c r="BF296" s="92"/>
      <c r="BG296" s="92"/>
      <c r="BH296" s="92"/>
      <c r="BI296" s="92"/>
      <c r="BJ296" s="92"/>
      <c r="BK296" s="92"/>
      <c r="BL296" s="92"/>
      <c r="BM296" s="92"/>
      <c r="BN296" s="92"/>
      <c r="BO296" s="92"/>
      <c r="BP296" s="92"/>
      <c r="BQ296" s="92"/>
      <c r="BS296" s="6"/>
      <c r="BT296" s="11"/>
      <c r="BU296" s="6"/>
      <c r="BV296" s="6"/>
    </row>
    <row r="297" spans="1:74" ht="15.75" x14ac:dyDescent="0.25">
      <c r="A297" s="50" t="s">
        <v>449</v>
      </c>
      <c r="B297" s="52"/>
      <c r="C297" s="7" t="s">
        <v>118</v>
      </c>
      <c r="D297" s="7" t="s">
        <v>1120</v>
      </c>
      <c r="E297" s="7"/>
      <c r="F297" s="55"/>
      <c r="G297" s="6"/>
      <c r="H297" s="6"/>
      <c r="I297" s="10" t="s">
        <v>110</v>
      </c>
      <c r="J297" s="11" t="s">
        <v>1093</v>
      </c>
      <c r="K297" s="102" t="s">
        <v>377</v>
      </c>
      <c r="L297" s="98"/>
      <c r="M297" s="98">
        <v>1000</v>
      </c>
      <c r="N297" s="60" t="s">
        <v>1121</v>
      </c>
      <c r="O297" s="88"/>
      <c r="P297" s="60" t="s">
        <v>1188</v>
      </c>
      <c r="Q297" s="60"/>
      <c r="R297" s="60"/>
      <c r="S297" s="89"/>
      <c r="T297" s="106"/>
      <c r="U297" s="88"/>
      <c r="V297" s="91"/>
      <c r="W297" s="12" t="s">
        <v>515</v>
      </c>
      <c r="X297" s="103"/>
      <c r="Y297" s="6" t="s">
        <v>1189</v>
      </c>
      <c r="Z297" s="64" t="s">
        <v>517</v>
      </c>
      <c r="AA297" s="12">
        <v>20</v>
      </c>
      <c r="AB297" s="6" t="s">
        <v>148</v>
      </c>
      <c r="AC297" s="64">
        <v>3060</v>
      </c>
      <c r="AJ297" s="60"/>
      <c r="AK297" s="67" t="s">
        <v>518</v>
      </c>
      <c r="AN297" s="60"/>
      <c r="AO297" s="60"/>
      <c r="AP297" s="60"/>
      <c r="AQ297" s="60"/>
      <c r="AR297" s="72"/>
      <c r="AS297" s="60"/>
      <c r="AT297" s="7"/>
      <c r="AU297" s="7"/>
      <c r="AV297" s="92"/>
      <c r="AW297" s="93"/>
      <c r="AX297" s="77"/>
      <c r="AY297" s="80"/>
      <c r="AZ297" s="94"/>
      <c r="BA297" s="94"/>
      <c r="BB297" s="80" t="s">
        <v>519</v>
      </c>
      <c r="BC297" s="95"/>
      <c r="BD297" s="92"/>
      <c r="BE297" s="92"/>
      <c r="BF297" s="92"/>
      <c r="BG297" s="92"/>
      <c r="BH297" s="92"/>
      <c r="BI297" s="92"/>
      <c r="BJ297" s="92"/>
      <c r="BK297" s="92"/>
      <c r="BL297" s="92"/>
      <c r="BM297" s="92"/>
      <c r="BN297" s="92"/>
      <c r="BO297" s="92"/>
      <c r="BP297" s="92"/>
      <c r="BQ297" s="92"/>
      <c r="BS297" s="6"/>
      <c r="BT297" s="11"/>
      <c r="BU297" s="6"/>
      <c r="BV297" s="6"/>
    </row>
    <row r="298" spans="1:74" ht="15.75" x14ac:dyDescent="0.25">
      <c r="A298" s="50" t="s">
        <v>449</v>
      </c>
      <c r="B298" s="52"/>
      <c r="C298" s="7" t="s">
        <v>118</v>
      </c>
      <c r="D298" s="7" t="s">
        <v>1120</v>
      </c>
      <c r="E298" s="7"/>
      <c r="F298" s="55"/>
      <c r="G298" s="6"/>
      <c r="H298" s="6"/>
      <c r="I298" s="10" t="s">
        <v>110</v>
      </c>
      <c r="J298" s="11" t="s">
        <v>1094</v>
      </c>
      <c r="K298" s="102" t="s">
        <v>377</v>
      </c>
      <c r="L298" s="98"/>
      <c r="M298" s="98">
        <v>1000</v>
      </c>
      <c r="N298" s="60" t="s">
        <v>1121</v>
      </c>
      <c r="O298" s="88"/>
      <c r="P298" s="60" t="s">
        <v>1190</v>
      </c>
      <c r="Q298" s="60"/>
      <c r="R298" s="60"/>
      <c r="S298" s="89"/>
      <c r="T298" s="106"/>
      <c r="U298" s="88"/>
      <c r="V298" s="91"/>
      <c r="W298" s="12" t="s">
        <v>515</v>
      </c>
      <c r="X298" s="103"/>
      <c r="Y298" s="6" t="s">
        <v>1189</v>
      </c>
      <c r="Z298" s="64" t="s">
        <v>522</v>
      </c>
      <c r="AA298" s="12">
        <v>20</v>
      </c>
      <c r="AB298" s="6" t="s">
        <v>148</v>
      </c>
      <c r="AC298" s="64">
        <v>3084</v>
      </c>
      <c r="AJ298" s="60"/>
      <c r="AK298" s="67" t="s">
        <v>450</v>
      </c>
      <c r="AN298" s="60"/>
      <c r="AO298" s="60"/>
      <c r="AP298" s="60"/>
      <c r="AQ298" s="60"/>
      <c r="AR298" s="72"/>
      <c r="AS298" s="60"/>
      <c r="AT298" s="7"/>
      <c r="AU298" s="7"/>
      <c r="AV298" s="92"/>
      <c r="AW298" s="93"/>
      <c r="AX298" s="77"/>
      <c r="AY298" s="80"/>
      <c r="AZ298" s="94"/>
      <c r="BA298" s="94"/>
      <c r="BB298" s="80" t="s">
        <v>519</v>
      </c>
      <c r="BC298" s="95"/>
      <c r="BD298" s="92"/>
      <c r="BE298" s="92"/>
      <c r="BF298" s="92"/>
      <c r="BG298" s="92"/>
      <c r="BH298" s="92"/>
      <c r="BI298" s="92"/>
      <c r="BJ298" s="92"/>
      <c r="BK298" s="92"/>
      <c r="BL298" s="92"/>
      <c r="BM298" s="92"/>
      <c r="BN298" s="92"/>
      <c r="BO298" s="92"/>
      <c r="BP298" s="92"/>
      <c r="BQ298" s="92"/>
      <c r="BS298" s="6"/>
      <c r="BT298" s="11"/>
      <c r="BU298" s="6"/>
      <c r="BV298" s="6"/>
    </row>
    <row r="299" spans="1:74" ht="15.75" x14ac:dyDescent="0.25">
      <c r="A299" s="50" t="s">
        <v>449</v>
      </c>
      <c r="B299" s="52"/>
      <c r="C299" s="7" t="s">
        <v>118</v>
      </c>
      <c r="D299" s="7" t="s">
        <v>1120</v>
      </c>
      <c r="E299" s="7"/>
      <c r="F299" s="55"/>
      <c r="G299" s="6"/>
      <c r="H299" s="6"/>
      <c r="I299" s="10" t="s">
        <v>110</v>
      </c>
      <c r="J299" s="11" t="s">
        <v>1191</v>
      </c>
      <c r="K299" s="102" t="s">
        <v>377</v>
      </c>
      <c r="L299" s="98"/>
      <c r="M299" s="98">
        <v>1000</v>
      </c>
      <c r="N299" s="60" t="s">
        <v>1121</v>
      </c>
      <c r="O299" s="88"/>
      <c r="P299" s="60" t="s">
        <v>1192</v>
      </c>
      <c r="Q299" s="60"/>
      <c r="R299" s="60"/>
      <c r="S299" s="89"/>
      <c r="T299" s="106"/>
      <c r="U299" s="88"/>
      <c r="V299" s="91"/>
      <c r="W299" s="12" t="s">
        <v>515</v>
      </c>
      <c r="X299" s="103"/>
      <c r="Y299" s="6" t="s">
        <v>1193</v>
      </c>
      <c r="Z299" s="64" t="s">
        <v>517</v>
      </c>
      <c r="AA299" s="12">
        <v>21</v>
      </c>
      <c r="AB299" s="6" t="s">
        <v>148</v>
      </c>
      <c r="AC299" s="64">
        <v>3060</v>
      </c>
      <c r="AJ299" s="60"/>
      <c r="AK299" s="67" t="s">
        <v>518</v>
      </c>
      <c r="AN299" s="60"/>
      <c r="AO299" s="60"/>
      <c r="AP299" s="60"/>
      <c r="AQ299" s="60"/>
      <c r="AR299" s="72"/>
      <c r="AS299" s="60"/>
      <c r="AT299" s="7"/>
      <c r="AU299" s="7"/>
      <c r="AV299" s="92"/>
      <c r="AW299" s="93"/>
      <c r="AX299" s="77"/>
      <c r="AY299" s="80"/>
      <c r="AZ299" s="94"/>
      <c r="BA299" s="94"/>
      <c r="BB299" s="80" t="s">
        <v>519</v>
      </c>
      <c r="BC299" s="95"/>
      <c r="BD299" s="92"/>
      <c r="BE299" s="92"/>
      <c r="BF299" s="92"/>
      <c r="BG299" s="92"/>
      <c r="BH299" s="92"/>
      <c r="BI299" s="92"/>
      <c r="BJ299" s="92"/>
      <c r="BK299" s="92"/>
      <c r="BL299" s="92"/>
      <c r="BM299" s="92"/>
      <c r="BN299" s="92"/>
      <c r="BO299" s="92"/>
      <c r="BP299" s="92"/>
      <c r="BQ299" s="92"/>
      <c r="BS299" s="6"/>
      <c r="BT299" s="11"/>
      <c r="BU299" s="6"/>
      <c r="BV299" s="6"/>
    </row>
    <row r="300" spans="1:74" ht="15.75" x14ac:dyDescent="0.25">
      <c r="A300" s="50" t="s">
        <v>449</v>
      </c>
      <c r="B300" s="52"/>
      <c r="C300" s="7" t="s">
        <v>118</v>
      </c>
      <c r="D300" s="7" t="s">
        <v>1120</v>
      </c>
      <c r="E300" s="7"/>
      <c r="F300" s="55"/>
      <c r="G300" s="6"/>
      <c r="H300" s="6"/>
      <c r="I300" s="10" t="s">
        <v>110</v>
      </c>
      <c r="J300" s="11" t="s">
        <v>1194</v>
      </c>
      <c r="K300" s="102" t="s">
        <v>377</v>
      </c>
      <c r="L300" s="98"/>
      <c r="M300" s="98">
        <v>1000</v>
      </c>
      <c r="N300" s="60" t="s">
        <v>1121</v>
      </c>
      <c r="O300" s="88"/>
      <c r="P300" s="60" t="s">
        <v>1195</v>
      </c>
      <c r="Q300" s="60"/>
      <c r="R300" s="60"/>
      <c r="S300" s="89"/>
      <c r="T300" s="106"/>
      <c r="U300" s="88"/>
      <c r="V300" s="91"/>
      <c r="W300" s="12" t="s">
        <v>515</v>
      </c>
      <c r="X300" s="103"/>
      <c r="Y300" s="6" t="s">
        <v>1193</v>
      </c>
      <c r="Z300" s="64" t="s">
        <v>522</v>
      </c>
      <c r="AA300" s="12">
        <v>21</v>
      </c>
      <c r="AB300" s="6" t="s">
        <v>148</v>
      </c>
      <c r="AC300" s="64">
        <v>3084</v>
      </c>
      <c r="AJ300" s="60"/>
      <c r="AK300" s="67" t="s">
        <v>450</v>
      </c>
      <c r="AN300" s="60"/>
      <c r="AO300" s="60"/>
      <c r="AP300" s="60"/>
      <c r="AQ300" s="60"/>
      <c r="AR300" s="72"/>
      <c r="AS300" s="60"/>
      <c r="AT300" s="7"/>
      <c r="AU300" s="7"/>
      <c r="AV300" s="92"/>
      <c r="AW300" s="93"/>
      <c r="AX300" s="77"/>
      <c r="AY300" s="80"/>
      <c r="AZ300" s="94"/>
      <c r="BA300" s="94"/>
      <c r="BB300" s="80" t="s">
        <v>519</v>
      </c>
      <c r="BC300" s="95"/>
      <c r="BD300" s="92"/>
      <c r="BE300" s="92"/>
      <c r="BF300" s="92"/>
      <c r="BG300" s="92"/>
      <c r="BH300" s="92"/>
      <c r="BI300" s="92"/>
      <c r="BJ300" s="92"/>
      <c r="BK300" s="92"/>
      <c r="BL300" s="92"/>
      <c r="BM300" s="92"/>
      <c r="BN300" s="92"/>
      <c r="BO300" s="92"/>
      <c r="BP300" s="92"/>
      <c r="BQ300" s="92"/>
      <c r="BS300" s="6"/>
      <c r="BT300" s="11"/>
      <c r="BU300" s="6"/>
      <c r="BV300" s="6"/>
    </row>
    <row r="301" spans="1:74" ht="15.75" x14ac:dyDescent="0.25">
      <c r="A301" s="50" t="s">
        <v>449</v>
      </c>
      <c r="B301" s="52"/>
      <c r="C301" s="7" t="s">
        <v>118</v>
      </c>
      <c r="D301" s="7" t="s">
        <v>1120</v>
      </c>
      <c r="E301" s="7"/>
      <c r="F301" s="55"/>
      <c r="G301" s="6"/>
      <c r="H301" s="6"/>
      <c r="I301" s="10" t="s">
        <v>110</v>
      </c>
      <c r="J301" s="11" t="s">
        <v>1196</v>
      </c>
      <c r="K301" s="102" t="s">
        <v>377</v>
      </c>
      <c r="L301" s="98"/>
      <c r="M301" s="98">
        <v>1000</v>
      </c>
      <c r="N301" s="60" t="s">
        <v>1121</v>
      </c>
      <c r="O301" s="88"/>
      <c r="P301" s="60" t="s">
        <v>1197</v>
      </c>
      <c r="Q301" s="60"/>
      <c r="R301" s="60"/>
      <c r="S301" s="89"/>
      <c r="T301" s="106"/>
      <c r="U301" s="88"/>
      <c r="V301" s="91"/>
      <c r="W301" s="12" t="s">
        <v>515</v>
      </c>
      <c r="X301" s="103"/>
      <c r="Y301" s="6" t="s">
        <v>1198</v>
      </c>
      <c r="Z301" s="64" t="s">
        <v>517</v>
      </c>
      <c r="AA301" s="12">
        <v>22</v>
      </c>
      <c r="AB301" s="6" t="s">
        <v>148</v>
      </c>
      <c r="AC301" s="64">
        <v>3060</v>
      </c>
      <c r="AJ301" s="60"/>
      <c r="AK301" s="67" t="s">
        <v>518</v>
      </c>
      <c r="AN301" s="60"/>
      <c r="AO301" s="60"/>
      <c r="AP301" s="60"/>
      <c r="AQ301" s="60"/>
      <c r="AR301" s="72"/>
      <c r="AS301" s="60"/>
      <c r="AT301" s="7"/>
      <c r="AU301" s="7"/>
      <c r="AV301" s="92"/>
      <c r="AW301" s="93"/>
      <c r="AX301" s="77"/>
      <c r="AY301" s="80"/>
      <c r="AZ301" s="94"/>
      <c r="BA301" s="94"/>
      <c r="BB301" s="80" t="s">
        <v>519</v>
      </c>
      <c r="BC301" s="95"/>
      <c r="BD301" s="92"/>
      <c r="BE301" s="92"/>
      <c r="BF301" s="92"/>
      <c r="BG301" s="92"/>
      <c r="BH301" s="92"/>
      <c r="BI301" s="92"/>
      <c r="BJ301" s="92"/>
      <c r="BK301" s="92"/>
      <c r="BL301" s="92"/>
      <c r="BM301" s="92"/>
      <c r="BN301" s="92"/>
      <c r="BO301" s="92"/>
      <c r="BP301" s="92"/>
      <c r="BQ301" s="92"/>
      <c r="BS301" s="6"/>
      <c r="BT301" s="11"/>
      <c r="BU301" s="6"/>
      <c r="BV301" s="6"/>
    </row>
    <row r="302" spans="1:74" ht="15.75" x14ac:dyDescent="0.25">
      <c r="A302" s="50" t="s">
        <v>449</v>
      </c>
      <c r="B302" s="52"/>
      <c r="C302" s="7" t="s">
        <v>118</v>
      </c>
      <c r="D302" s="7" t="s">
        <v>1120</v>
      </c>
      <c r="E302" s="7"/>
      <c r="F302" s="55"/>
      <c r="G302" s="6"/>
      <c r="H302" s="6"/>
      <c r="I302" s="10" t="s">
        <v>110</v>
      </c>
      <c r="J302" s="11" t="s">
        <v>1199</v>
      </c>
      <c r="K302" s="102" t="s">
        <v>377</v>
      </c>
      <c r="L302" s="98"/>
      <c r="M302" s="98">
        <v>1000</v>
      </c>
      <c r="N302" s="60" t="s">
        <v>1121</v>
      </c>
      <c r="O302" s="88"/>
      <c r="P302" s="60" t="s">
        <v>1200</v>
      </c>
      <c r="Q302" s="60"/>
      <c r="R302" s="60"/>
      <c r="S302" s="89"/>
      <c r="T302" s="106"/>
      <c r="U302" s="88"/>
      <c r="V302" s="91"/>
      <c r="W302" s="12" t="s">
        <v>515</v>
      </c>
      <c r="X302" s="103"/>
      <c r="Y302" s="6" t="s">
        <v>1198</v>
      </c>
      <c r="Z302" s="64" t="s">
        <v>522</v>
      </c>
      <c r="AA302" s="12">
        <v>22</v>
      </c>
      <c r="AB302" s="6" t="s">
        <v>148</v>
      </c>
      <c r="AC302" s="64">
        <v>3084</v>
      </c>
      <c r="AJ302" s="60"/>
      <c r="AK302" s="67" t="s">
        <v>450</v>
      </c>
      <c r="AN302" s="60"/>
      <c r="AO302" s="60"/>
      <c r="AP302" s="60"/>
      <c r="AQ302" s="60"/>
      <c r="AR302" s="72"/>
      <c r="AS302" s="60"/>
      <c r="AT302" s="7"/>
      <c r="AU302" s="7"/>
      <c r="AV302" s="92"/>
      <c r="AW302" s="93"/>
      <c r="AX302" s="77"/>
      <c r="AY302" s="80"/>
      <c r="AZ302" s="94"/>
      <c r="BA302" s="94"/>
      <c r="BB302" s="80" t="s">
        <v>519</v>
      </c>
      <c r="BC302" s="95"/>
      <c r="BD302" s="92"/>
      <c r="BE302" s="92"/>
      <c r="BF302" s="92"/>
      <c r="BG302" s="92"/>
      <c r="BH302" s="92"/>
      <c r="BI302" s="92"/>
      <c r="BJ302" s="92"/>
      <c r="BK302" s="92"/>
      <c r="BL302" s="92"/>
      <c r="BM302" s="92"/>
      <c r="BN302" s="92"/>
      <c r="BO302" s="92"/>
      <c r="BP302" s="92"/>
      <c r="BQ302" s="92"/>
      <c r="BS302" s="6"/>
      <c r="BT302" s="11"/>
      <c r="BU302" s="6"/>
      <c r="BV302" s="6"/>
    </row>
    <row r="303" spans="1:74" ht="15.75" x14ac:dyDescent="0.25">
      <c r="A303" s="50" t="s">
        <v>449</v>
      </c>
      <c r="B303" s="52"/>
      <c r="C303" s="7" t="s">
        <v>118</v>
      </c>
      <c r="D303" s="7" t="s">
        <v>1120</v>
      </c>
      <c r="E303" s="7"/>
      <c r="F303" s="55"/>
      <c r="G303" s="6"/>
      <c r="H303" s="6"/>
      <c r="I303" s="10" t="s">
        <v>110</v>
      </c>
      <c r="J303" s="11" t="s">
        <v>1201</v>
      </c>
      <c r="K303" s="102" t="s">
        <v>377</v>
      </c>
      <c r="L303" s="98"/>
      <c r="M303" s="98">
        <v>1000</v>
      </c>
      <c r="N303" s="60" t="s">
        <v>1121</v>
      </c>
      <c r="O303" s="88"/>
      <c r="P303" s="60" t="s">
        <v>1202</v>
      </c>
      <c r="Q303" s="60"/>
      <c r="R303" s="60"/>
      <c r="S303" s="89"/>
      <c r="T303" s="106"/>
      <c r="U303" s="88"/>
      <c r="V303" s="91"/>
      <c r="W303" s="12" t="s">
        <v>515</v>
      </c>
      <c r="X303" s="103"/>
      <c r="Y303" s="6" t="s">
        <v>1203</v>
      </c>
      <c r="Z303" s="64" t="s">
        <v>517</v>
      </c>
      <c r="AA303" s="12">
        <v>23</v>
      </c>
      <c r="AB303" s="6" t="s">
        <v>148</v>
      </c>
      <c r="AC303" s="64">
        <v>3060</v>
      </c>
      <c r="AJ303" s="60"/>
      <c r="AK303" s="67" t="s">
        <v>518</v>
      </c>
      <c r="AN303" s="60"/>
      <c r="AO303" s="60"/>
      <c r="AP303" s="60"/>
      <c r="AQ303" s="60"/>
      <c r="AR303" s="72"/>
      <c r="AS303" s="60"/>
      <c r="AT303" s="7"/>
      <c r="AU303" s="7"/>
      <c r="AV303" s="92"/>
      <c r="AW303" s="93"/>
      <c r="AX303" s="77"/>
      <c r="AY303" s="80"/>
      <c r="AZ303" s="94"/>
      <c r="BA303" s="94"/>
      <c r="BB303" s="80" t="s">
        <v>519</v>
      </c>
      <c r="BC303" s="95"/>
      <c r="BD303" s="92"/>
      <c r="BE303" s="92"/>
      <c r="BF303" s="92"/>
      <c r="BG303" s="92"/>
      <c r="BH303" s="92"/>
      <c r="BI303" s="92"/>
      <c r="BJ303" s="92"/>
      <c r="BK303" s="92"/>
      <c r="BL303" s="92"/>
      <c r="BM303" s="92"/>
      <c r="BN303" s="92"/>
      <c r="BO303" s="92"/>
      <c r="BP303" s="92"/>
      <c r="BQ303" s="92"/>
      <c r="BS303" s="6"/>
      <c r="BT303" s="11"/>
      <c r="BU303" s="6"/>
      <c r="BV303" s="6"/>
    </row>
    <row r="304" spans="1:74" ht="15.75" x14ac:dyDescent="0.25">
      <c r="A304" s="50" t="s">
        <v>449</v>
      </c>
      <c r="B304" s="52"/>
      <c r="C304" s="7" t="s">
        <v>118</v>
      </c>
      <c r="D304" s="7" t="s">
        <v>1120</v>
      </c>
      <c r="E304" s="7"/>
      <c r="F304" s="55"/>
      <c r="G304" s="6"/>
      <c r="H304" s="6"/>
      <c r="I304" s="10" t="s">
        <v>110</v>
      </c>
      <c r="J304" s="11" t="s">
        <v>1204</v>
      </c>
      <c r="K304" s="102" t="s">
        <v>377</v>
      </c>
      <c r="L304" s="98"/>
      <c r="M304" s="98">
        <v>1000</v>
      </c>
      <c r="N304" s="60" t="s">
        <v>1121</v>
      </c>
      <c r="O304" s="88"/>
      <c r="P304" s="60" t="s">
        <v>1205</v>
      </c>
      <c r="Q304" s="60"/>
      <c r="R304" s="60"/>
      <c r="S304" s="89"/>
      <c r="T304" s="106"/>
      <c r="U304" s="88"/>
      <c r="V304" s="91"/>
      <c r="W304" s="12" t="s">
        <v>515</v>
      </c>
      <c r="X304" s="103"/>
      <c r="Y304" s="6" t="s">
        <v>1203</v>
      </c>
      <c r="Z304" s="64" t="s">
        <v>522</v>
      </c>
      <c r="AA304" s="12">
        <v>23</v>
      </c>
      <c r="AB304" s="6" t="s">
        <v>148</v>
      </c>
      <c r="AC304" s="64">
        <v>3084</v>
      </c>
      <c r="AJ304" s="60"/>
      <c r="AK304" s="67" t="s">
        <v>450</v>
      </c>
      <c r="AN304" s="60"/>
      <c r="AO304" s="60"/>
      <c r="AP304" s="60"/>
      <c r="AQ304" s="60"/>
      <c r="AR304" s="72"/>
      <c r="AS304" s="60"/>
      <c r="AT304" s="7"/>
      <c r="AU304" s="7"/>
      <c r="AV304" s="92"/>
      <c r="AW304" s="93"/>
      <c r="AX304" s="77"/>
      <c r="AY304" s="80"/>
      <c r="AZ304" s="94"/>
      <c r="BA304" s="94"/>
      <c r="BB304" s="80" t="s">
        <v>519</v>
      </c>
      <c r="BC304" s="95"/>
      <c r="BD304" s="92"/>
      <c r="BE304" s="92"/>
      <c r="BF304" s="92"/>
      <c r="BG304" s="92"/>
      <c r="BH304" s="92"/>
      <c r="BI304" s="92"/>
      <c r="BJ304" s="92"/>
      <c r="BK304" s="92"/>
      <c r="BL304" s="92"/>
      <c r="BM304" s="92"/>
      <c r="BN304" s="92"/>
      <c r="BO304" s="92"/>
      <c r="BP304" s="92"/>
      <c r="BQ304" s="92"/>
      <c r="BS304" s="6"/>
      <c r="BT304" s="11"/>
      <c r="BU304" s="6"/>
      <c r="BV304" s="6"/>
    </row>
    <row r="305" spans="1:74" ht="15.75" x14ac:dyDescent="0.25">
      <c r="A305" s="50" t="s">
        <v>449</v>
      </c>
      <c r="B305" s="52"/>
      <c r="C305" s="7" t="s">
        <v>118</v>
      </c>
      <c r="D305" s="7" t="s">
        <v>1120</v>
      </c>
      <c r="E305" s="7"/>
      <c r="F305" s="55"/>
      <c r="G305" s="6"/>
      <c r="H305" s="6"/>
      <c r="I305" s="10" t="s">
        <v>110</v>
      </c>
      <c r="J305" s="11" t="s">
        <v>1095</v>
      </c>
      <c r="K305" s="102" t="s">
        <v>377</v>
      </c>
      <c r="L305" s="98"/>
      <c r="M305" s="98">
        <v>1000</v>
      </c>
      <c r="N305" s="60" t="s">
        <v>1121</v>
      </c>
      <c r="O305" s="88"/>
      <c r="P305" s="60" t="s">
        <v>1206</v>
      </c>
      <c r="Q305" s="60"/>
      <c r="R305" s="60"/>
      <c r="S305" s="89"/>
      <c r="T305" s="106"/>
      <c r="U305" s="88"/>
      <c r="V305" s="91"/>
      <c r="W305" s="12" t="s">
        <v>515</v>
      </c>
      <c r="X305" s="103"/>
      <c r="Y305" s="6" t="s">
        <v>1207</v>
      </c>
      <c r="Z305" s="64" t="s">
        <v>517</v>
      </c>
      <c r="AA305" s="12">
        <v>24</v>
      </c>
      <c r="AB305" s="6" t="s">
        <v>148</v>
      </c>
      <c r="AC305" s="64">
        <v>3060</v>
      </c>
      <c r="AJ305" s="60"/>
      <c r="AK305" s="67" t="s">
        <v>518</v>
      </c>
      <c r="AN305" s="60"/>
      <c r="AO305" s="60"/>
      <c r="AP305" s="60"/>
      <c r="AQ305" s="60"/>
      <c r="AR305" s="72"/>
      <c r="AS305" s="60"/>
      <c r="AT305" s="7"/>
      <c r="AU305" s="7"/>
      <c r="AV305" s="92"/>
      <c r="AW305" s="93"/>
      <c r="AX305" s="77"/>
      <c r="AY305" s="80"/>
      <c r="AZ305" s="94"/>
      <c r="BA305" s="94"/>
      <c r="BB305" s="80" t="s">
        <v>519</v>
      </c>
      <c r="BC305" s="95"/>
      <c r="BD305" s="92"/>
      <c r="BE305" s="92"/>
      <c r="BF305" s="92"/>
      <c r="BG305" s="92"/>
      <c r="BH305" s="92"/>
      <c r="BI305" s="92"/>
      <c r="BJ305" s="92"/>
      <c r="BK305" s="92"/>
      <c r="BL305" s="92"/>
      <c r="BM305" s="92"/>
      <c r="BN305" s="92"/>
      <c r="BO305" s="92"/>
      <c r="BP305" s="92"/>
      <c r="BQ305" s="92"/>
      <c r="BS305" s="6"/>
      <c r="BT305" s="11"/>
      <c r="BU305" s="6"/>
      <c r="BV305" s="6"/>
    </row>
    <row r="306" spans="1:74" ht="15.75" x14ac:dyDescent="0.25">
      <c r="A306" s="50" t="s">
        <v>449</v>
      </c>
      <c r="B306" s="52"/>
      <c r="C306" s="7" t="s">
        <v>118</v>
      </c>
      <c r="D306" s="7" t="s">
        <v>1120</v>
      </c>
      <c r="E306" s="7"/>
      <c r="F306" s="55"/>
      <c r="G306" s="6"/>
      <c r="H306" s="6"/>
      <c r="I306" s="10" t="s">
        <v>110</v>
      </c>
      <c r="J306" s="11" t="s">
        <v>1098</v>
      </c>
      <c r="K306" s="102" t="s">
        <v>377</v>
      </c>
      <c r="L306" s="98"/>
      <c r="M306" s="98">
        <v>1000</v>
      </c>
      <c r="N306" s="60" t="s">
        <v>1121</v>
      </c>
      <c r="O306" s="88"/>
      <c r="P306" s="60" t="s">
        <v>1208</v>
      </c>
      <c r="Q306" s="60"/>
      <c r="R306" s="60"/>
      <c r="S306" s="89"/>
      <c r="T306" s="106"/>
      <c r="U306" s="88"/>
      <c r="V306" s="91"/>
      <c r="W306" s="12" t="s">
        <v>515</v>
      </c>
      <c r="X306" s="103"/>
      <c r="Y306" s="6" t="s">
        <v>1207</v>
      </c>
      <c r="Z306" s="64" t="s">
        <v>522</v>
      </c>
      <c r="AA306" s="12">
        <v>24</v>
      </c>
      <c r="AB306" s="6" t="s">
        <v>148</v>
      </c>
      <c r="AC306" s="64">
        <v>3084</v>
      </c>
      <c r="AJ306" s="60"/>
      <c r="AK306" s="67" t="s">
        <v>450</v>
      </c>
      <c r="AN306" s="60"/>
      <c r="AO306" s="60"/>
      <c r="AP306" s="60"/>
      <c r="AQ306" s="60"/>
      <c r="AR306" s="72"/>
      <c r="AS306" s="60"/>
      <c r="AT306" s="7"/>
      <c r="AU306" s="7"/>
      <c r="AV306" s="92"/>
      <c r="AW306" s="93"/>
      <c r="AX306" s="77"/>
      <c r="AY306" s="80"/>
      <c r="AZ306" s="94"/>
      <c r="BA306" s="94"/>
      <c r="BB306" s="80" t="s">
        <v>519</v>
      </c>
      <c r="BC306" s="95"/>
      <c r="BD306" s="92"/>
      <c r="BE306" s="92"/>
      <c r="BF306" s="92"/>
      <c r="BG306" s="92"/>
      <c r="BH306" s="92"/>
      <c r="BI306" s="92"/>
      <c r="BJ306" s="92"/>
      <c r="BK306" s="92"/>
      <c r="BL306" s="92"/>
      <c r="BM306" s="92"/>
      <c r="BN306" s="92"/>
      <c r="BO306" s="92"/>
      <c r="BP306" s="92"/>
      <c r="BQ306" s="92"/>
      <c r="BS306" s="6"/>
      <c r="BT306" s="11"/>
      <c r="BU306" s="6"/>
      <c r="BV306" s="6"/>
    </row>
    <row r="307" spans="1:74" ht="15.75" x14ac:dyDescent="0.25">
      <c r="A307" s="50" t="s">
        <v>449</v>
      </c>
      <c r="B307" s="52"/>
      <c r="C307" s="7" t="s">
        <v>118</v>
      </c>
      <c r="D307" s="7" t="s">
        <v>1209</v>
      </c>
      <c r="E307" s="7"/>
      <c r="F307" s="55"/>
      <c r="G307" s="6"/>
      <c r="H307" s="6"/>
      <c r="I307" s="10" t="s">
        <v>110</v>
      </c>
      <c r="J307" s="11" t="s">
        <v>979</v>
      </c>
      <c r="K307" s="102" t="s">
        <v>377</v>
      </c>
      <c r="L307" s="98"/>
      <c r="M307" s="98">
        <v>1000</v>
      </c>
      <c r="N307" s="60" t="s">
        <v>1210</v>
      </c>
      <c r="O307" s="88"/>
      <c r="P307" s="60" t="s">
        <v>1211</v>
      </c>
      <c r="Q307" s="60"/>
      <c r="R307" s="60"/>
      <c r="S307" s="89"/>
      <c r="T307" s="106"/>
      <c r="U307" s="88"/>
      <c r="V307" s="91"/>
      <c r="W307" s="12" t="s">
        <v>515</v>
      </c>
      <c r="X307" s="103"/>
      <c r="Y307" s="6" t="s">
        <v>1212</v>
      </c>
      <c r="Z307" s="64" t="s">
        <v>517</v>
      </c>
      <c r="AA307" s="12">
        <v>1</v>
      </c>
      <c r="AB307" s="6" t="s">
        <v>148</v>
      </c>
      <c r="AC307" s="64">
        <v>3060</v>
      </c>
      <c r="AJ307" s="60"/>
      <c r="AK307" s="67" t="s">
        <v>518</v>
      </c>
      <c r="AN307" s="60"/>
      <c r="AO307" s="60"/>
      <c r="AP307" s="60"/>
      <c r="AQ307" s="60"/>
      <c r="AR307" s="72"/>
      <c r="AS307" s="60"/>
      <c r="AT307" s="7"/>
      <c r="AU307" s="7"/>
      <c r="AV307" s="92"/>
      <c r="AW307" s="93"/>
      <c r="AX307" s="77"/>
      <c r="AY307" s="80"/>
      <c r="AZ307" s="94"/>
      <c r="BA307" s="94"/>
      <c r="BB307" s="80" t="s">
        <v>519</v>
      </c>
      <c r="BC307" s="95"/>
      <c r="BD307" s="92"/>
      <c r="BE307" s="92"/>
      <c r="BF307" s="92"/>
      <c r="BG307" s="92"/>
      <c r="BH307" s="92"/>
      <c r="BI307" s="92"/>
      <c r="BJ307" s="92"/>
      <c r="BK307" s="92"/>
      <c r="BL307" s="92"/>
      <c r="BM307" s="92"/>
      <c r="BN307" s="92"/>
      <c r="BO307" s="92"/>
      <c r="BP307" s="92"/>
      <c r="BQ307" s="92"/>
      <c r="BS307" s="6"/>
      <c r="BT307" s="11"/>
      <c r="BU307" s="6"/>
      <c r="BV307" s="6"/>
    </row>
    <row r="308" spans="1:74" ht="15.75" x14ac:dyDescent="0.25">
      <c r="A308" s="50" t="s">
        <v>449</v>
      </c>
      <c r="B308" s="52"/>
      <c r="C308" s="7" t="s">
        <v>118</v>
      </c>
      <c r="D308" s="7" t="s">
        <v>1209</v>
      </c>
      <c r="E308" s="7"/>
      <c r="F308" s="55"/>
      <c r="G308" s="6"/>
      <c r="H308" s="6"/>
      <c r="I308" s="10" t="s">
        <v>110</v>
      </c>
      <c r="J308" s="11" t="s">
        <v>981</v>
      </c>
      <c r="K308" s="102" t="s">
        <v>377</v>
      </c>
      <c r="L308" s="98"/>
      <c r="M308" s="98">
        <v>1000</v>
      </c>
      <c r="N308" s="60" t="s">
        <v>1210</v>
      </c>
      <c r="O308" s="88"/>
      <c r="P308" s="60" t="s">
        <v>1213</v>
      </c>
      <c r="Q308" s="60"/>
      <c r="R308" s="60"/>
      <c r="S308" s="89"/>
      <c r="T308" s="106"/>
      <c r="U308" s="88"/>
      <c r="V308" s="91"/>
      <c r="W308" s="12" t="s">
        <v>515</v>
      </c>
      <c r="X308" s="103"/>
      <c r="Y308" s="6" t="s">
        <v>1212</v>
      </c>
      <c r="Z308" s="64" t="s">
        <v>522</v>
      </c>
      <c r="AA308" s="12">
        <v>1</v>
      </c>
      <c r="AB308" s="6" t="s">
        <v>148</v>
      </c>
      <c r="AC308" s="64">
        <v>3084</v>
      </c>
      <c r="AJ308" s="60"/>
      <c r="AK308" s="67" t="s">
        <v>450</v>
      </c>
      <c r="AN308" s="60"/>
      <c r="AO308" s="60"/>
      <c r="AP308" s="60"/>
      <c r="AQ308" s="60"/>
      <c r="AR308" s="72"/>
      <c r="AS308" s="60"/>
      <c r="AT308" s="7"/>
      <c r="AU308" s="7"/>
      <c r="AV308" s="92"/>
      <c r="AW308" s="93"/>
      <c r="AX308" s="77"/>
      <c r="AY308" s="80"/>
      <c r="AZ308" s="94"/>
      <c r="BA308" s="94"/>
      <c r="BB308" s="80" t="s">
        <v>519</v>
      </c>
      <c r="BC308" s="95"/>
      <c r="BD308" s="92"/>
      <c r="BE308" s="92"/>
      <c r="BF308" s="92"/>
      <c r="BG308" s="92"/>
      <c r="BH308" s="92"/>
      <c r="BI308" s="92"/>
      <c r="BJ308" s="92"/>
      <c r="BK308" s="92"/>
      <c r="BL308" s="92"/>
      <c r="BM308" s="92"/>
      <c r="BN308" s="92"/>
      <c r="BO308" s="92"/>
      <c r="BP308" s="92"/>
      <c r="BQ308" s="92"/>
      <c r="BS308" s="6"/>
      <c r="BT308" s="11"/>
      <c r="BU308" s="6"/>
      <c r="BV308" s="6"/>
    </row>
    <row r="309" spans="1:74" ht="15.75" x14ac:dyDescent="0.25">
      <c r="A309" s="50" t="s">
        <v>449</v>
      </c>
      <c r="B309" s="52"/>
      <c r="C309" s="7" t="s">
        <v>118</v>
      </c>
      <c r="D309" s="7" t="s">
        <v>1209</v>
      </c>
      <c r="E309" s="7"/>
      <c r="F309" s="55"/>
      <c r="G309" s="6"/>
      <c r="H309" s="6"/>
      <c r="I309" s="10" t="s">
        <v>110</v>
      </c>
      <c r="J309" s="11" t="s">
        <v>982</v>
      </c>
      <c r="K309" s="102" t="s">
        <v>377</v>
      </c>
      <c r="L309" s="98"/>
      <c r="M309" s="98">
        <v>1000</v>
      </c>
      <c r="N309" s="60" t="s">
        <v>1210</v>
      </c>
      <c r="O309" s="88"/>
      <c r="P309" s="60" t="s">
        <v>1214</v>
      </c>
      <c r="Q309" s="60"/>
      <c r="R309" s="60"/>
      <c r="S309" s="89"/>
      <c r="T309" s="106"/>
      <c r="U309" s="88"/>
      <c r="V309" s="91"/>
      <c r="W309" s="12" t="s">
        <v>515</v>
      </c>
      <c r="X309" s="103"/>
      <c r="Y309" s="6" t="s">
        <v>1215</v>
      </c>
      <c r="Z309" s="64" t="s">
        <v>517</v>
      </c>
      <c r="AA309" s="12">
        <v>2</v>
      </c>
      <c r="AB309" s="6" t="s">
        <v>148</v>
      </c>
      <c r="AC309" s="64">
        <v>3060</v>
      </c>
      <c r="AJ309" s="60"/>
      <c r="AK309" s="67" t="s">
        <v>518</v>
      </c>
      <c r="AN309" s="60"/>
      <c r="AO309" s="60"/>
      <c r="AP309" s="60"/>
      <c r="AQ309" s="60"/>
      <c r="AR309" s="72"/>
      <c r="AS309" s="60"/>
      <c r="AT309" s="7"/>
      <c r="AU309" s="7"/>
      <c r="AV309" s="92"/>
      <c r="AW309" s="93"/>
      <c r="AX309" s="77"/>
      <c r="AY309" s="80"/>
      <c r="AZ309" s="94"/>
      <c r="BA309" s="94"/>
      <c r="BB309" s="80" t="s">
        <v>519</v>
      </c>
      <c r="BC309" s="95"/>
      <c r="BD309" s="92"/>
      <c r="BE309" s="92"/>
      <c r="BF309" s="92"/>
      <c r="BG309" s="92"/>
      <c r="BH309" s="92"/>
      <c r="BI309" s="92"/>
      <c r="BJ309" s="92"/>
      <c r="BK309" s="92"/>
      <c r="BL309" s="92"/>
      <c r="BM309" s="92"/>
      <c r="BN309" s="92"/>
      <c r="BO309" s="92"/>
      <c r="BP309" s="92"/>
      <c r="BQ309" s="92"/>
      <c r="BS309" s="6"/>
      <c r="BT309" s="11"/>
      <c r="BU309" s="6"/>
      <c r="BV309" s="6"/>
    </row>
    <row r="310" spans="1:74" ht="15.75" x14ac:dyDescent="0.25">
      <c r="A310" s="50" t="s">
        <v>449</v>
      </c>
      <c r="B310" s="52"/>
      <c r="C310" s="7" t="s">
        <v>118</v>
      </c>
      <c r="D310" s="7" t="s">
        <v>1209</v>
      </c>
      <c r="E310" s="7"/>
      <c r="F310" s="55"/>
      <c r="G310" s="6"/>
      <c r="H310" s="6"/>
      <c r="I310" s="10" t="s">
        <v>110</v>
      </c>
      <c r="J310" s="11" t="s">
        <v>983</v>
      </c>
      <c r="K310" s="102" t="s">
        <v>377</v>
      </c>
      <c r="L310" s="98"/>
      <c r="M310" s="98">
        <v>1000</v>
      </c>
      <c r="N310" s="60" t="s">
        <v>1210</v>
      </c>
      <c r="O310" s="88"/>
      <c r="P310" s="60" t="s">
        <v>1216</v>
      </c>
      <c r="Q310" s="60"/>
      <c r="R310" s="60"/>
      <c r="S310" s="89"/>
      <c r="T310" s="106"/>
      <c r="U310" s="88"/>
      <c r="V310" s="91"/>
      <c r="W310" s="12" t="s">
        <v>515</v>
      </c>
      <c r="X310" s="103"/>
      <c r="Y310" s="6" t="s">
        <v>1215</v>
      </c>
      <c r="Z310" s="64" t="s">
        <v>522</v>
      </c>
      <c r="AA310" s="12">
        <v>2</v>
      </c>
      <c r="AB310" s="6" t="s">
        <v>148</v>
      </c>
      <c r="AC310" s="64">
        <v>3084</v>
      </c>
      <c r="AJ310" s="60"/>
      <c r="AK310" s="67" t="s">
        <v>450</v>
      </c>
      <c r="AN310" s="60"/>
      <c r="AO310" s="60"/>
      <c r="AP310" s="60"/>
      <c r="AQ310" s="60"/>
      <c r="AR310" s="72"/>
      <c r="AS310" s="60"/>
      <c r="AT310" s="7"/>
      <c r="AU310" s="7"/>
      <c r="AV310" s="92"/>
      <c r="AW310" s="93"/>
      <c r="AX310" s="77"/>
      <c r="AY310" s="80"/>
      <c r="AZ310" s="94"/>
      <c r="BA310" s="94"/>
      <c r="BB310" s="80" t="s">
        <v>519</v>
      </c>
      <c r="BC310" s="95"/>
      <c r="BD310" s="92"/>
      <c r="BE310" s="92"/>
      <c r="BF310" s="92"/>
      <c r="BG310" s="92"/>
      <c r="BH310" s="92"/>
      <c r="BI310" s="92"/>
      <c r="BJ310" s="92"/>
      <c r="BK310" s="92"/>
      <c r="BL310" s="92"/>
      <c r="BM310" s="92"/>
      <c r="BN310" s="92"/>
      <c r="BO310" s="92"/>
      <c r="BP310" s="92"/>
      <c r="BQ310" s="92"/>
      <c r="BS310" s="6"/>
      <c r="BT310" s="11"/>
      <c r="BU310" s="6"/>
      <c r="BV310" s="6"/>
    </row>
    <row r="311" spans="1:74" ht="15.75" x14ac:dyDescent="0.25">
      <c r="A311" s="50" t="s">
        <v>449</v>
      </c>
      <c r="B311" s="52"/>
      <c r="C311" s="7" t="s">
        <v>118</v>
      </c>
      <c r="D311" s="7" t="s">
        <v>1209</v>
      </c>
      <c r="E311" s="7"/>
      <c r="F311" s="55"/>
      <c r="G311" s="6"/>
      <c r="H311" s="6"/>
      <c r="I311" s="10" t="s">
        <v>110</v>
      </c>
      <c r="J311" s="11" t="s">
        <v>984</v>
      </c>
      <c r="K311" s="102" t="s">
        <v>377</v>
      </c>
      <c r="L311" s="98"/>
      <c r="M311" s="98">
        <v>1000</v>
      </c>
      <c r="N311" s="60" t="s">
        <v>1210</v>
      </c>
      <c r="O311" s="88"/>
      <c r="P311" s="60" t="s">
        <v>1217</v>
      </c>
      <c r="Q311" s="60"/>
      <c r="R311" s="60"/>
      <c r="S311" s="89"/>
      <c r="T311" s="106"/>
      <c r="U311" s="88"/>
      <c r="V311" s="91"/>
      <c r="W311" s="12" t="s">
        <v>515</v>
      </c>
      <c r="X311" s="103"/>
      <c r="Y311" s="6" t="s">
        <v>1218</v>
      </c>
      <c r="Z311" s="64" t="s">
        <v>517</v>
      </c>
      <c r="AA311" s="12">
        <v>3</v>
      </c>
      <c r="AB311" s="6" t="s">
        <v>148</v>
      </c>
      <c r="AC311" s="64">
        <v>3060</v>
      </c>
      <c r="AJ311" s="60"/>
      <c r="AK311" s="67" t="s">
        <v>518</v>
      </c>
      <c r="AN311" s="60"/>
      <c r="AO311" s="60"/>
      <c r="AP311" s="60"/>
      <c r="AQ311" s="60"/>
      <c r="AR311" s="72"/>
      <c r="AS311" s="60"/>
      <c r="AT311" s="7"/>
      <c r="AU311" s="7"/>
      <c r="AV311" s="92"/>
      <c r="AW311" s="93"/>
      <c r="AX311" s="77"/>
      <c r="AY311" s="80"/>
      <c r="AZ311" s="94"/>
      <c r="BA311" s="94"/>
      <c r="BB311" s="80" t="s">
        <v>519</v>
      </c>
      <c r="BC311" s="95"/>
      <c r="BD311" s="92"/>
      <c r="BE311" s="92"/>
      <c r="BF311" s="92"/>
      <c r="BG311" s="92"/>
      <c r="BH311" s="92"/>
      <c r="BI311" s="92"/>
      <c r="BJ311" s="92"/>
      <c r="BK311" s="92"/>
      <c r="BL311" s="92"/>
      <c r="BM311" s="92"/>
      <c r="BN311" s="92"/>
      <c r="BO311" s="92"/>
      <c r="BP311" s="92"/>
      <c r="BQ311" s="92"/>
      <c r="BS311" s="6"/>
      <c r="BT311" s="11"/>
      <c r="BU311" s="6"/>
      <c r="BV311" s="6"/>
    </row>
    <row r="312" spans="1:74" ht="15.75" x14ac:dyDescent="0.25">
      <c r="A312" s="50" t="s">
        <v>449</v>
      </c>
      <c r="B312" s="52"/>
      <c r="C312" s="7" t="s">
        <v>118</v>
      </c>
      <c r="D312" s="7" t="s">
        <v>1209</v>
      </c>
      <c r="E312" s="7"/>
      <c r="F312" s="55"/>
      <c r="G312" s="6"/>
      <c r="H312" s="6"/>
      <c r="I312" s="10" t="s">
        <v>110</v>
      </c>
      <c r="J312" s="11" t="s">
        <v>985</v>
      </c>
      <c r="K312" s="102" t="s">
        <v>377</v>
      </c>
      <c r="L312" s="98"/>
      <c r="M312" s="98">
        <v>1000</v>
      </c>
      <c r="N312" s="60" t="s">
        <v>1210</v>
      </c>
      <c r="O312" s="88"/>
      <c r="P312" s="60" t="s">
        <v>1219</v>
      </c>
      <c r="Q312" s="60"/>
      <c r="R312" s="60"/>
      <c r="S312" s="89"/>
      <c r="T312" s="106"/>
      <c r="U312" s="88"/>
      <c r="V312" s="91"/>
      <c r="W312" s="12" t="s">
        <v>515</v>
      </c>
      <c r="X312" s="103"/>
      <c r="Y312" s="6" t="s">
        <v>1218</v>
      </c>
      <c r="Z312" s="64" t="s">
        <v>522</v>
      </c>
      <c r="AA312" s="12">
        <v>3</v>
      </c>
      <c r="AB312" s="6" t="s">
        <v>148</v>
      </c>
      <c r="AC312" s="64">
        <v>3084</v>
      </c>
      <c r="AJ312" s="60"/>
      <c r="AK312" s="67" t="s">
        <v>450</v>
      </c>
      <c r="AN312" s="60"/>
      <c r="AO312" s="60"/>
      <c r="AP312" s="60"/>
      <c r="AQ312" s="60"/>
      <c r="AR312" s="72"/>
      <c r="AS312" s="60"/>
      <c r="AT312" s="7"/>
      <c r="AU312" s="7"/>
      <c r="AV312" s="92"/>
      <c r="AW312" s="93"/>
      <c r="AX312" s="77"/>
      <c r="AY312" s="80"/>
      <c r="AZ312" s="94"/>
      <c r="BA312" s="94"/>
      <c r="BB312" s="80" t="s">
        <v>519</v>
      </c>
      <c r="BC312" s="95"/>
      <c r="BD312" s="92"/>
      <c r="BE312" s="92"/>
      <c r="BF312" s="92"/>
      <c r="BG312" s="92"/>
      <c r="BH312" s="92"/>
      <c r="BI312" s="92"/>
      <c r="BJ312" s="92"/>
      <c r="BK312" s="92"/>
      <c r="BL312" s="92"/>
      <c r="BM312" s="92"/>
      <c r="BN312" s="92"/>
      <c r="BO312" s="92"/>
      <c r="BP312" s="92"/>
      <c r="BQ312" s="92"/>
      <c r="BS312" s="6"/>
      <c r="BT312" s="11"/>
      <c r="BU312" s="6"/>
      <c r="BV312" s="6"/>
    </row>
    <row r="313" spans="1:74" ht="15.75" x14ac:dyDescent="0.25">
      <c r="A313" s="50" t="s">
        <v>449</v>
      </c>
      <c r="B313" s="52"/>
      <c r="C313" s="7" t="s">
        <v>118</v>
      </c>
      <c r="D313" s="7" t="s">
        <v>1209</v>
      </c>
      <c r="E313" s="7"/>
      <c r="F313" s="55"/>
      <c r="G313" s="6"/>
      <c r="H313" s="6"/>
      <c r="I313" s="10" t="s">
        <v>110</v>
      </c>
      <c r="J313" s="11" t="s">
        <v>1131</v>
      </c>
      <c r="K313" s="102" t="s">
        <v>377</v>
      </c>
      <c r="L313" s="98"/>
      <c r="M313" s="98">
        <v>1000</v>
      </c>
      <c r="N313" s="60" t="s">
        <v>1210</v>
      </c>
      <c r="O313" s="88"/>
      <c r="P313" s="60" t="s">
        <v>1220</v>
      </c>
      <c r="Q313" s="60"/>
      <c r="R313" s="60"/>
      <c r="S313" s="89"/>
      <c r="T313" s="106"/>
      <c r="U313" s="88"/>
      <c r="V313" s="91"/>
      <c r="W313" s="12" t="s">
        <v>515</v>
      </c>
      <c r="X313" s="103"/>
      <c r="Y313" s="6" t="s">
        <v>1221</v>
      </c>
      <c r="Z313" s="64" t="s">
        <v>517</v>
      </c>
      <c r="AA313" s="12">
        <v>4</v>
      </c>
      <c r="AB313" s="6" t="s">
        <v>148</v>
      </c>
      <c r="AC313" s="64">
        <v>3060</v>
      </c>
      <c r="AJ313" s="60"/>
      <c r="AK313" s="67" t="s">
        <v>518</v>
      </c>
      <c r="AN313" s="60"/>
      <c r="AO313" s="60"/>
      <c r="AP313" s="60"/>
      <c r="AQ313" s="60"/>
      <c r="AR313" s="72"/>
      <c r="AS313" s="60"/>
      <c r="AT313" s="7"/>
      <c r="AU313" s="7"/>
      <c r="AV313" s="92"/>
      <c r="AW313" s="93"/>
      <c r="AX313" s="77"/>
      <c r="AY313" s="80"/>
      <c r="AZ313" s="94"/>
      <c r="BA313" s="94"/>
      <c r="BB313" s="80" t="s">
        <v>519</v>
      </c>
      <c r="BC313" s="95"/>
      <c r="BD313" s="92"/>
      <c r="BE313" s="92"/>
      <c r="BF313" s="92"/>
      <c r="BG313" s="92"/>
      <c r="BH313" s="92"/>
      <c r="BI313" s="92"/>
      <c r="BJ313" s="92"/>
      <c r="BK313" s="92"/>
      <c r="BL313" s="92"/>
      <c r="BM313" s="92"/>
      <c r="BN313" s="92"/>
      <c r="BO313" s="92"/>
      <c r="BP313" s="92"/>
      <c r="BQ313" s="92"/>
      <c r="BS313" s="6"/>
      <c r="BT313" s="11"/>
      <c r="BU313" s="6"/>
      <c r="BV313" s="6"/>
    </row>
    <row r="314" spans="1:74" ht="15.75" x14ac:dyDescent="0.25">
      <c r="A314" s="50" t="s">
        <v>449</v>
      </c>
      <c r="B314" s="52"/>
      <c r="C314" s="7" t="s">
        <v>118</v>
      </c>
      <c r="D314" s="7" t="s">
        <v>1209</v>
      </c>
      <c r="E314" s="7"/>
      <c r="F314" s="55"/>
      <c r="G314" s="6"/>
      <c r="H314" s="6"/>
      <c r="I314" s="10" t="s">
        <v>110</v>
      </c>
      <c r="J314" s="11" t="s">
        <v>1134</v>
      </c>
      <c r="K314" s="102" t="s">
        <v>377</v>
      </c>
      <c r="L314" s="98"/>
      <c r="M314" s="98">
        <v>1000</v>
      </c>
      <c r="N314" s="60" t="s">
        <v>1210</v>
      </c>
      <c r="O314" s="88"/>
      <c r="P314" s="60" t="s">
        <v>1222</v>
      </c>
      <c r="Q314" s="60"/>
      <c r="R314" s="60"/>
      <c r="S314" s="89"/>
      <c r="T314" s="106"/>
      <c r="U314" s="88"/>
      <c r="V314" s="91"/>
      <c r="W314" s="12" t="s">
        <v>515</v>
      </c>
      <c r="X314" s="103"/>
      <c r="Y314" s="6" t="s">
        <v>1221</v>
      </c>
      <c r="Z314" s="64" t="s">
        <v>522</v>
      </c>
      <c r="AA314" s="12">
        <v>4</v>
      </c>
      <c r="AB314" s="6" t="s">
        <v>148</v>
      </c>
      <c r="AC314" s="64">
        <v>3084</v>
      </c>
      <c r="AJ314" s="60"/>
      <c r="AK314" s="67" t="s">
        <v>450</v>
      </c>
      <c r="AN314" s="60"/>
      <c r="AO314" s="60"/>
      <c r="AP314" s="60"/>
      <c r="AQ314" s="60"/>
      <c r="AR314" s="72"/>
      <c r="AS314" s="60"/>
      <c r="AT314" s="7"/>
      <c r="AU314" s="7"/>
      <c r="AV314" s="92"/>
      <c r="AW314" s="93"/>
      <c r="AX314" s="77"/>
      <c r="AY314" s="80"/>
      <c r="AZ314" s="94"/>
      <c r="BA314" s="94"/>
      <c r="BB314" s="80" t="s">
        <v>519</v>
      </c>
      <c r="BC314" s="95"/>
      <c r="BD314" s="92"/>
      <c r="BE314" s="92"/>
      <c r="BF314" s="92"/>
      <c r="BG314" s="92"/>
      <c r="BH314" s="92"/>
      <c r="BI314" s="92"/>
      <c r="BJ314" s="92"/>
      <c r="BK314" s="92"/>
      <c r="BL314" s="92"/>
      <c r="BM314" s="92"/>
      <c r="BN314" s="92"/>
      <c r="BO314" s="92"/>
      <c r="BP314" s="92"/>
      <c r="BQ314" s="92"/>
      <c r="BS314" s="6"/>
      <c r="BT314" s="11"/>
      <c r="BU314" s="6"/>
      <c r="BV314" s="6"/>
    </row>
    <row r="315" spans="1:74" ht="15.75" x14ac:dyDescent="0.25">
      <c r="A315" s="50" t="s">
        <v>449</v>
      </c>
      <c r="B315" s="52"/>
      <c r="C315" s="7" t="s">
        <v>118</v>
      </c>
      <c r="D315" s="7" t="s">
        <v>1209</v>
      </c>
      <c r="E315" s="7"/>
      <c r="F315" s="55"/>
      <c r="G315" s="6"/>
      <c r="H315" s="6"/>
      <c r="I315" s="10" t="s">
        <v>110</v>
      </c>
      <c r="J315" s="11" t="s">
        <v>1136</v>
      </c>
      <c r="K315" s="102" t="s">
        <v>377</v>
      </c>
      <c r="L315" s="98"/>
      <c r="M315" s="98">
        <v>1000</v>
      </c>
      <c r="N315" s="60" t="s">
        <v>1210</v>
      </c>
      <c r="O315" s="88"/>
      <c r="P315" s="60" t="s">
        <v>1223</v>
      </c>
      <c r="Q315" s="60"/>
      <c r="R315" s="60"/>
      <c r="S315" s="89"/>
      <c r="T315" s="106"/>
      <c r="U315" s="88"/>
      <c r="V315" s="91"/>
      <c r="W315" s="12" t="s">
        <v>515</v>
      </c>
      <c r="X315" s="103"/>
      <c r="Y315" s="6" t="s">
        <v>1224</v>
      </c>
      <c r="Z315" s="64" t="s">
        <v>517</v>
      </c>
      <c r="AA315" s="12">
        <v>5</v>
      </c>
      <c r="AB315" s="6" t="s">
        <v>148</v>
      </c>
      <c r="AC315" s="64">
        <v>3060</v>
      </c>
      <c r="AJ315" s="60"/>
      <c r="AK315" s="67" t="s">
        <v>518</v>
      </c>
      <c r="AN315" s="60"/>
      <c r="AO315" s="60"/>
      <c r="AP315" s="60"/>
      <c r="AQ315" s="60"/>
      <c r="AR315" s="72"/>
      <c r="AS315" s="60"/>
      <c r="AT315" s="7"/>
      <c r="AU315" s="7"/>
      <c r="AV315" s="92"/>
      <c r="AW315" s="93"/>
      <c r="AX315" s="77"/>
      <c r="AY315" s="80"/>
      <c r="AZ315" s="94"/>
      <c r="BA315" s="94"/>
      <c r="BB315" s="80" t="s">
        <v>519</v>
      </c>
      <c r="BC315" s="95"/>
      <c r="BD315" s="92"/>
      <c r="BE315" s="92"/>
      <c r="BF315" s="92"/>
      <c r="BG315" s="92"/>
      <c r="BH315" s="92"/>
      <c r="BI315" s="92"/>
      <c r="BJ315" s="92"/>
      <c r="BK315" s="92"/>
      <c r="BL315" s="92"/>
      <c r="BM315" s="92"/>
      <c r="BN315" s="92"/>
      <c r="BO315" s="92"/>
      <c r="BP315" s="92"/>
      <c r="BQ315" s="92"/>
      <c r="BS315" s="6"/>
      <c r="BT315" s="11"/>
      <c r="BU315" s="6"/>
      <c r="BV315" s="6"/>
    </row>
    <row r="316" spans="1:74" ht="15.75" x14ac:dyDescent="0.25">
      <c r="A316" s="50" t="s">
        <v>449</v>
      </c>
      <c r="B316" s="52"/>
      <c r="C316" s="7" t="s">
        <v>118</v>
      </c>
      <c r="D316" s="7" t="s">
        <v>1209</v>
      </c>
      <c r="E316" s="7"/>
      <c r="F316" s="55"/>
      <c r="G316" s="6"/>
      <c r="H316" s="6"/>
      <c r="I316" s="10" t="s">
        <v>110</v>
      </c>
      <c r="J316" s="11" t="s">
        <v>1139</v>
      </c>
      <c r="K316" s="102" t="s">
        <v>377</v>
      </c>
      <c r="L316" s="98"/>
      <c r="M316" s="98">
        <v>1000</v>
      </c>
      <c r="N316" s="60" t="s">
        <v>1210</v>
      </c>
      <c r="O316" s="88"/>
      <c r="P316" s="60" t="s">
        <v>1225</v>
      </c>
      <c r="Q316" s="60"/>
      <c r="R316" s="60"/>
      <c r="S316" s="89"/>
      <c r="T316" s="106"/>
      <c r="U316" s="88"/>
      <c r="V316" s="91"/>
      <c r="W316" s="12" t="s">
        <v>515</v>
      </c>
      <c r="X316" s="103"/>
      <c r="Y316" s="6" t="s">
        <v>1224</v>
      </c>
      <c r="Z316" s="64" t="s">
        <v>522</v>
      </c>
      <c r="AA316" s="12">
        <v>5</v>
      </c>
      <c r="AB316" s="6" t="s">
        <v>148</v>
      </c>
      <c r="AC316" s="64">
        <v>3084</v>
      </c>
      <c r="AJ316" s="60"/>
      <c r="AK316" s="67" t="s">
        <v>450</v>
      </c>
      <c r="AN316" s="60"/>
      <c r="AO316" s="60"/>
      <c r="AP316" s="60"/>
      <c r="AQ316" s="60"/>
      <c r="AR316" s="72"/>
      <c r="AS316" s="60"/>
      <c r="AT316" s="7"/>
      <c r="AU316" s="7"/>
      <c r="AV316" s="92"/>
      <c r="AW316" s="93"/>
      <c r="AX316" s="77"/>
      <c r="AY316" s="80"/>
      <c r="AZ316" s="94"/>
      <c r="BA316" s="94"/>
      <c r="BB316" s="80" t="s">
        <v>519</v>
      </c>
      <c r="BC316" s="95"/>
      <c r="BD316" s="92"/>
      <c r="BE316" s="92"/>
      <c r="BF316" s="92"/>
      <c r="BG316" s="92"/>
      <c r="BH316" s="92"/>
      <c r="BI316" s="92"/>
      <c r="BJ316" s="92"/>
      <c r="BK316" s="92"/>
      <c r="BL316" s="92"/>
      <c r="BM316" s="92"/>
      <c r="BN316" s="92"/>
      <c r="BO316" s="92"/>
      <c r="BP316" s="92"/>
      <c r="BQ316" s="92"/>
      <c r="BS316" s="6"/>
      <c r="BT316" s="11"/>
      <c r="BU316" s="6"/>
      <c r="BV316" s="6"/>
    </row>
    <row r="317" spans="1:74" ht="15.75" x14ac:dyDescent="0.25">
      <c r="A317" s="50" t="s">
        <v>449</v>
      </c>
      <c r="B317" s="52"/>
      <c r="C317" s="7" t="s">
        <v>118</v>
      </c>
      <c r="D317" s="7" t="s">
        <v>1209</v>
      </c>
      <c r="E317" s="7"/>
      <c r="F317" s="55"/>
      <c r="G317" s="6"/>
      <c r="H317" s="6"/>
      <c r="I317" s="10" t="s">
        <v>110</v>
      </c>
      <c r="J317" s="11" t="s">
        <v>1141</v>
      </c>
      <c r="K317" s="102" t="s">
        <v>377</v>
      </c>
      <c r="L317" s="98"/>
      <c r="M317" s="98">
        <v>1000</v>
      </c>
      <c r="N317" s="60" t="s">
        <v>1210</v>
      </c>
      <c r="O317" s="88"/>
      <c r="P317" s="60" t="s">
        <v>1226</v>
      </c>
      <c r="Q317" s="60"/>
      <c r="R317" s="60"/>
      <c r="S317" s="89"/>
      <c r="T317" s="106"/>
      <c r="U317" s="88"/>
      <c r="V317" s="91"/>
      <c r="W317" s="12" t="s">
        <v>515</v>
      </c>
      <c r="X317" s="103"/>
      <c r="Y317" s="6" t="s">
        <v>1227</v>
      </c>
      <c r="Z317" s="64" t="s">
        <v>517</v>
      </c>
      <c r="AA317" s="12">
        <v>6</v>
      </c>
      <c r="AB317" s="6" t="s">
        <v>148</v>
      </c>
      <c r="AC317" s="64">
        <v>3060</v>
      </c>
      <c r="AJ317" s="60"/>
      <c r="AK317" s="67" t="s">
        <v>518</v>
      </c>
      <c r="AN317" s="60"/>
      <c r="AO317" s="60"/>
      <c r="AP317" s="60"/>
      <c r="AQ317" s="60"/>
      <c r="AR317" s="72"/>
      <c r="AS317" s="60"/>
      <c r="AT317" s="7"/>
      <c r="AU317" s="7"/>
      <c r="AV317" s="92"/>
      <c r="AW317" s="93"/>
      <c r="AX317" s="77"/>
      <c r="AY317" s="80"/>
      <c r="AZ317" s="94"/>
      <c r="BA317" s="94"/>
      <c r="BB317" s="80" t="s">
        <v>519</v>
      </c>
      <c r="BC317" s="95"/>
      <c r="BD317" s="92"/>
      <c r="BE317" s="92"/>
      <c r="BF317" s="92"/>
      <c r="BG317" s="92"/>
      <c r="BH317" s="92"/>
      <c r="BI317" s="92"/>
      <c r="BJ317" s="92"/>
      <c r="BK317" s="92"/>
      <c r="BL317" s="92"/>
      <c r="BM317" s="92"/>
      <c r="BN317" s="92"/>
      <c r="BO317" s="92"/>
      <c r="BP317" s="92"/>
      <c r="BQ317" s="92"/>
      <c r="BS317" s="6"/>
      <c r="BT317" s="11"/>
      <c r="BU317" s="6"/>
      <c r="BV317" s="6"/>
    </row>
    <row r="318" spans="1:74" ht="15.75" x14ac:dyDescent="0.25">
      <c r="A318" s="50" t="s">
        <v>449</v>
      </c>
      <c r="B318" s="52"/>
      <c r="C318" s="7" t="s">
        <v>118</v>
      </c>
      <c r="D318" s="7" t="s">
        <v>1209</v>
      </c>
      <c r="E318" s="7"/>
      <c r="F318" s="55"/>
      <c r="G318" s="6"/>
      <c r="H318" s="6"/>
      <c r="I318" s="10" t="s">
        <v>110</v>
      </c>
      <c r="J318" s="11" t="s">
        <v>1144</v>
      </c>
      <c r="K318" s="102" t="s">
        <v>377</v>
      </c>
      <c r="L318" s="98"/>
      <c r="M318" s="98">
        <v>1000</v>
      </c>
      <c r="N318" s="60" t="s">
        <v>1210</v>
      </c>
      <c r="O318" s="88"/>
      <c r="P318" s="60" t="s">
        <v>1228</v>
      </c>
      <c r="Q318" s="60"/>
      <c r="R318" s="60"/>
      <c r="S318" s="89"/>
      <c r="T318" s="106"/>
      <c r="U318" s="88"/>
      <c r="V318" s="91"/>
      <c r="W318" s="12" t="s">
        <v>515</v>
      </c>
      <c r="X318" s="103"/>
      <c r="Y318" s="6" t="s">
        <v>1227</v>
      </c>
      <c r="Z318" s="64" t="s">
        <v>522</v>
      </c>
      <c r="AA318" s="12">
        <v>6</v>
      </c>
      <c r="AB318" s="6" t="s">
        <v>148</v>
      </c>
      <c r="AC318" s="64">
        <v>3084</v>
      </c>
      <c r="AJ318" s="60"/>
      <c r="AK318" s="67" t="s">
        <v>450</v>
      </c>
      <c r="AN318" s="60"/>
      <c r="AO318" s="60"/>
      <c r="AP318" s="60"/>
      <c r="AQ318" s="60"/>
      <c r="AR318" s="72"/>
      <c r="AS318" s="60"/>
      <c r="AT318" s="7"/>
      <c r="AU318" s="7"/>
      <c r="AV318" s="92"/>
      <c r="AW318" s="93"/>
      <c r="AX318" s="77"/>
      <c r="AY318" s="80"/>
      <c r="AZ318" s="94"/>
      <c r="BA318" s="94"/>
      <c r="BB318" s="80" t="s">
        <v>519</v>
      </c>
      <c r="BC318" s="95"/>
      <c r="BD318" s="92"/>
      <c r="BE318" s="92"/>
      <c r="BF318" s="92"/>
      <c r="BG318" s="92"/>
      <c r="BH318" s="92"/>
      <c r="BI318" s="92"/>
      <c r="BJ318" s="92"/>
      <c r="BK318" s="92"/>
      <c r="BL318" s="92"/>
      <c r="BM318" s="92"/>
      <c r="BN318" s="92"/>
      <c r="BO318" s="92"/>
      <c r="BP318" s="92"/>
      <c r="BQ318" s="92"/>
      <c r="BS318" s="6"/>
      <c r="BT318" s="11"/>
      <c r="BU318" s="6"/>
      <c r="BV318" s="6"/>
    </row>
    <row r="319" spans="1:74" ht="15.75" x14ac:dyDescent="0.25">
      <c r="A319" s="50" t="s">
        <v>449</v>
      </c>
      <c r="B319" s="52"/>
      <c r="C319" s="7" t="s">
        <v>118</v>
      </c>
      <c r="D319" s="7" t="s">
        <v>1209</v>
      </c>
      <c r="E319" s="7"/>
      <c r="F319" s="55"/>
      <c r="G319" s="6"/>
      <c r="H319" s="6"/>
      <c r="I319" s="10" t="s">
        <v>110</v>
      </c>
      <c r="J319" s="11" t="s">
        <v>1146</v>
      </c>
      <c r="K319" s="102" t="s">
        <v>377</v>
      </c>
      <c r="L319" s="98"/>
      <c r="M319" s="98">
        <v>1000</v>
      </c>
      <c r="N319" s="60" t="s">
        <v>1210</v>
      </c>
      <c r="O319" s="88"/>
      <c r="P319" s="60" t="s">
        <v>1229</v>
      </c>
      <c r="Q319" s="60"/>
      <c r="R319" s="60"/>
      <c r="S319" s="89"/>
      <c r="T319" s="106"/>
      <c r="U319" s="88"/>
      <c r="V319" s="91"/>
      <c r="W319" s="12" t="s">
        <v>515</v>
      </c>
      <c r="X319" s="103"/>
      <c r="Y319" s="6" t="s">
        <v>1230</v>
      </c>
      <c r="Z319" s="64" t="s">
        <v>517</v>
      </c>
      <c r="AA319" s="12">
        <v>7</v>
      </c>
      <c r="AB319" s="6" t="s">
        <v>148</v>
      </c>
      <c r="AC319" s="64">
        <v>3060</v>
      </c>
      <c r="AJ319" s="60"/>
      <c r="AK319" s="67" t="s">
        <v>518</v>
      </c>
      <c r="AN319" s="60"/>
      <c r="AO319" s="60"/>
      <c r="AP319" s="60"/>
      <c r="AQ319" s="60"/>
      <c r="AR319" s="72"/>
      <c r="AS319" s="60"/>
      <c r="AT319" s="7"/>
      <c r="AU319" s="7"/>
      <c r="AV319" s="92"/>
      <c r="AW319" s="93"/>
      <c r="AX319" s="77"/>
      <c r="AY319" s="80"/>
      <c r="AZ319" s="94"/>
      <c r="BA319" s="94"/>
      <c r="BB319" s="80" t="s">
        <v>519</v>
      </c>
      <c r="BC319" s="95"/>
      <c r="BD319" s="92"/>
      <c r="BE319" s="92"/>
      <c r="BF319" s="92"/>
      <c r="BG319" s="92"/>
      <c r="BH319" s="92"/>
      <c r="BI319" s="92"/>
      <c r="BJ319" s="92"/>
      <c r="BK319" s="92"/>
      <c r="BL319" s="92"/>
      <c r="BM319" s="92"/>
      <c r="BN319" s="92"/>
      <c r="BO319" s="92"/>
      <c r="BP319" s="92"/>
      <c r="BQ319" s="92"/>
      <c r="BS319" s="6"/>
      <c r="BT319" s="11"/>
      <c r="BU319" s="6"/>
      <c r="BV319" s="6"/>
    </row>
    <row r="320" spans="1:74" ht="15.75" x14ac:dyDescent="0.25">
      <c r="A320" s="50" t="s">
        <v>449</v>
      </c>
      <c r="B320" s="52"/>
      <c r="C320" s="7" t="s">
        <v>118</v>
      </c>
      <c r="D320" s="7" t="s">
        <v>1209</v>
      </c>
      <c r="E320" s="7"/>
      <c r="F320" s="55"/>
      <c r="G320" s="6"/>
      <c r="H320" s="6"/>
      <c r="I320" s="10" t="s">
        <v>110</v>
      </c>
      <c r="J320" s="11" t="s">
        <v>1149</v>
      </c>
      <c r="K320" s="102" t="s">
        <v>377</v>
      </c>
      <c r="L320" s="98"/>
      <c r="M320" s="98">
        <v>1000</v>
      </c>
      <c r="N320" s="60" t="s">
        <v>1210</v>
      </c>
      <c r="O320" s="88"/>
      <c r="P320" s="60" t="s">
        <v>1231</v>
      </c>
      <c r="Q320" s="60"/>
      <c r="R320" s="60"/>
      <c r="S320" s="89"/>
      <c r="T320" s="106"/>
      <c r="U320" s="88"/>
      <c r="V320" s="91"/>
      <c r="W320" s="12" t="s">
        <v>515</v>
      </c>
      <c r="X320" s="103"/>
      <c r="Y320" s="6" t="s">
        <v>1230</v>
      </c>
      <c r="Z320" s="64" t="s">
        <v>522</v>
      </c>
      <c r="AA320" s="12">
        <v>7</v>
      </c>
      <c r="AB320" s="6" t="s">
        <v>148</v>
      </c>
      <c r="AC320" s="64">
        <v>3084</v>
      </c>
      <c r="AJ320" s="60"/>
      <c r="AK320" s="67" t="s">
        <v>450</v>
      </c>
      <c r="AN320" s="60"/>
      <c r="AO320" s="60"/>
      <c r="AP320" s="60"/>
      <c r="AQ320" s="60"/>
      <c r="AR320" s="72"/>
      <c r="AS320" s="60"/>
      <c r="AT320" s="7"/>
      <c r="AU320" s="7"/>
      <c r="AV320" s="92"/>
      <c r="AW320" s="93"/>
      <c r="AX320" s="77"/>
      <c r="AY320" s="80"/>
      <c r="AZ320" s="94"/>
      <c r="BA320" s="94"/>
      <c r="BB320" s="80" t="s">
        <v>519</v>
      </c>
      <c r="BC320" s="95"/>
      <c r="BD320" s="92"/>
      <c r="BE320" s="92"/>
      <c r="BF320" s="92"/>
      <c r="BG320" s="92"/>
      <c r="BH320" s="92"/>
      <c r="BI320" s="92"/>
      <c r="BJ320" s="92"/>
      <c r="BK320" s="92"/>
      <c r="BL320" s="92"/>
      <c r="BM320" s="92"/>
      <c r="BN320" s="92"/>
      <c r="BO320" s="92"/>
      <c r="BP320" s="92"/>
      <c r="BQ320" s="92"/>
      <c r="BS320" s="6"/>
      <c r="BT320" s="11"/>
      <c r="BU320" s="6"/>
      <c r="BV320" s="6"/>
    </row>
    <row r="321" spans="1:74" ht="15.75" x14ac:dyDescent="0.25">
      <c r="A321" s="50" t="s">
        <v>449</v>
      </c>
      <c r="B321" s="52"/>
      <c r="C321" s="7" t="s">
        <v>118</v>
      </c>
      <c r="D321" s="7" t="s">
        <v>1209</v>
      </c>
      <c r="E321" s="7"/>
      <c r="F321" s="55"/>
      <c r="G321" s="6"/>
      <c r="H321" s="6"/>
      <c r="I321" s="10" t="s">
        <v>110</v>
      </c>
      <c r="J321" s="11" t="s">
        <v>1151</v>
      </c>
      <c r="K321" s="102" t="s">
        <v>377</v>
      </c>
      <c r="L321" s="98"/>
      <c r="M321" s="98">
        <v>1000</v>
      </c>
      <c r="N321" s="60" t="s">
        <v>1210</v>
      </c>
      <c r="O321" s="88"/>
      <c r="P321" s="60" t="s">
        <v>1232</v>
      </c>
      <c r="Q321" s="60"/>
      <c r="R321" s="60"/>
      <c r="S321" s="89"/>
      <c r="T321" s="106"/>
      <c r="U321" s="88"/>
      <c r="V321" s="91"/>
      <c r="W321" s="12" t="s">
        <v>515</v>
      </c>
      <c r="X321" s="103"/>
      <c r="Y321" s="6" t="s">
        <v>1233</v>
      </c>
      <c r="Z321" s="64" t="s">
        <v>517</v>
      </c>
      <c r="AA321" s="12">
        <v>8</v>
      </c>
      <c r="AB321" s="6" t="s">
        <v>148</v>
      </c>
      <c r="AC321" s="64">
        <v>3060</v>
      </c>
      <c r="AJ321" s="60"/>
      <c r="AK321" s="67" t="s">
        <v>518</v>
      </c>
      <c r="AN321" s="60"/>
      <c r="AO321" s="60"/>
      <c r="AP321" s="60"/>
      <c r="AQ321" s="60"/>
      <c r="AR321" s="72"/>
      <c r="AS321" s="60"/>
      <c r="AT321" s="7"/>
      <c r="AU321" s="7"/>
      <c r="AV321" s="92"/>
      <c r="AW321" s="93"/>
      <c r="AX321" s="77"/>
      <c r="AY321" s="80"/>
      <c r="AZ321" s="94"/>
      <c r="BA321" s="94"/>
      <c r="BB321" s="80" t="s">
        <v>519</v>
      </c>
      <c r="BC321" s="95"/>
      <c r="BD321" s="92"/>
      <c r="BE321" s="92"/>
      <c r="BF321" s="92"/>
      <c r="BG321" s="92"/>
      <c r="BH321" s="92"/>
      <c r="BI321" s="92"/>
      <c r="BJ321" s="92"/>
      <c r="BK321" s="92"/>
      <c r="BL321" s="92"/>
      <c r="BM321" s="92"/>
      <c r="BN321" s="92"/>
      <c r="BO321" s="92"/>
      <c r="BP321" s="92"/>
      <c r="BQ321" s="92"/>
      <c r="BS321" s="6"/>
      <c r="BT321" s="11"/>
      <c r="BU321" s="6"/>
      <c r="BV321" s="6"/>
    </row>
    <row r="322" spans="1:74" ht="15.75" x14ac:dyDescent="0.25">
      <c r="A322" s="50" t="s">
        <v>449</v>
      </c>
      <c r="B322" s="52"/>
      <c r="C322" s="7" t="s">
        <v>118</v>
      </c>
      <c r="D322" s="7" t="s">
        <v>1209</v>
      </c>
      <c r="E322" s="7"/>
      <c r="F322" s="55"/>
      <c r="G322" s="6"/>
      <c r="H322" s="6"/>
      <c r="I322" s="10" t="s">
        <v>110</v>
      </c>
      <c r="J322" s="11" t="s">
        <v>1154</v>
      </c>
      <c r="K322" s="102" t="s">
        <v>377</v>
      </c>
      <c r="L322" s="98"/>
      <c r="M322" s="98">
        <v>1000</v>
      </c>
      <c r="N322" s="60" t="s">
        <v>1210</v>
      </c>
      <c r="O322" s="88"/>
      <c r="P322" s="60" t="s">
        <v>1234</v>
      </c>
      <c r="Q322" s="60"/>
      <c r="R322" s="60"/>
      <c r="S322" s="89"/>
      <c r="T322" s="106"/>
      <c r="U322" s="88"/>
      <c r="V322" s="91"/>
      <c r="W322" s="12" t="s">
        <v>515</v>
      </c>
      <c r="X322" s="103"/>
      <c r="Y322" s="6" t="s">
        <v>1233</v>
      </c>
      <c r="Z322" s="64" t="s">
        <v>522</v>
      </c>
      <c r="AA322" s="12">
        <v>8</v>
      </c>
      <c r="AB322" s="6" t="s">
        <v>148</v>
      </c>
      <c r="AC322" s="64">
        <v>3084</v>
      </c>
      <c r="AJ322" s="60"/>
      <c r="AK322" s="67" t="s">
        <v>450</v>
      </c>
      <c r="AN322" s="60"/>
      <c r="AO322" s="60"/>
      <c r="AP322" s="60"/>
      <c r="AQ322" s="60"/>
      <c r="AR322" s="72"/>
      <c r="AS322" s="60"/>
      <c r="AT322" s="7"/>
      <c r="AU322" s="7"/>
      <c r="AV322" s="92"/>
      <c r="AW322" s="93"/>
      <c r="AX322" s="77"/>
      <c r="AY322" s="80"/>
      <c r="AZ322" s="94"/>
      <c r="BA322" s="94"/>
      <c r="BB322" s="80" t="s">
        <v>519</v>
      </c>
      <c r="BC322" s="95"/>
      <c r="BD322" s="92"/>
      <c r="BE322" s="92"/>
      <c r="BF322" s="92"/>
      <c r="BG322" s="92"/>
      <c r="BH322" s="92"/>
      <c r="BI322" s="92"/>
      <c r="BJ322" s="92"/>
      <c r="BK322" s="92"/>
      <c r="BL322" s="92"/>
      <c r="BM322" s="92"/>
      <c r="BN322" s="92"/>
      <c r="BO322" s="92"/>
      <c r="BP322" s="92"/>
      <c r="BQ322" s="92"/>
      <c r="BS322" s="6"/>
      <c r="BT322" s="11"/>
      <c r="BU322" s="6"/>
      <c r="BV322" s="6"/>
    </row>
    <row r="323" spans="1:74" ht="15.75" x14ac:dyDescent="0.25">
      <c r="A323" s="50" t="s">
        <v>449</v>
      </c>
      <c r="B323" s="52"/>
      <c r="C323" s="7" t="s">
        <v>118</v>
      </c>
      <c r="D323" s="7" t="s">
        <v>1209</v>
      </c>
      <c r="E323" s="7"/>
      <c r="F323" s="55"/>
      <c r="G323" s="6"/>
      <c r="H323" s="6"/>
      <c r="I323" s="10" t="s">
        <v>110</v>
      </c>
      <c r="J323" s="11" t="s">
        <v>1156</v>
      </c>
      <c r="K323" s="102" t="s">
        <v>377</v>
      </c>
      <c r="L323" s="98"/>
      <c r="M323" s="98">
        <v>1000</v>
      </c>
      <c r="N323" s="60" t="s">
        <v>1210</v>
      </c>
      <c r="O323" s="88"/>
      <c r="P323" s="60" t="s">
        <v>1235</v>
      </c>
      <c r="Q323" s="60"/>
      <c r="R323" s="60"/>
      <c r="S323" s="89"/>
      <c r="T323" s="106"/>
      <c r="U323" s="88"/>
      <c r="V323" s="91"/>
      <c r="W323" s="12" t="s">
        <v>515</v>
      </c>
      <c r="X323" s="103"/>
      <c r="Y323" s="6" t="s">
        <v>1236</v>
      </c>
      <c r="Z323" s="64" t="s">
        <v>517</v>
      </c>
      <c r="AA323" s="12">
        <v>9</v>
      </c>
      <c r="AB323" s="6" t="s">
        <v>148</v>
      </c>
      <c r="AC323" s="64">
        <v>3060</v>
      </c>
      <c r="AJ323" s="60"/>
      <c r="AK323" s="67" t="s">
        <v>518</v>
      </c>
      <c r="AN323" s="60"/>
      <c r="AO323" s="60"/>
      <c r="AP323" s="60"/>
      <c r="AQ323" s="60"/>
      <c r="AR323" s="72"/>
      <c r="AS323" s="60"/>
      <c r="AT323" s="7"/>
      <c r="AU323" s="7"/>
      <c r="AV323" s="92"/>
      <c r="AW323" s="93"/>
      <c r="AX323" s="77"/>
      <c r="AY323" s="80"/>
      <c r="AZ323" s="94"/>
      <c r="BA323" s="94"/>
      <c r="BB323" s="80" t="s">
        <v>519</v>
      </c>
      <c r="BC323" s="95"/>
      <c r="BD323" s="92"/>
      <c r="BE323" s="92"/>
      <c r="BF323" s="92"/>
      <c r="BG323" s="92"/>
      <c r="BH323" s="92"/>
      <c r="BI323" s="92"/>
      <c r="BJ323" s="92"/>
      <c r="BK323" s="92"/>
      <c r="BL323" s="92"/>
      <c r="BM323" s="92"/>
      <c r="BN323" s="92"/>
      <c r="BO323" s="92"/>
      <c r="BP323" s="92"/>
      <c r="BQ323" s="92"/>
      <c r="BS323" s="6"/>
      <c r="BT323" s="11"/>
      <c r="BU323" s="6"/>
      <c r="BV323" s="6"/>
    </row>
    <row r="324" spans="1:74" ht="15.75" x14ac:dyDescent="0.25">
      <c r="A324" s="50" t="s">
        <v>449</v>
      </c>
      <c r="B324" s="52"/>
      <c r="C324" s="7" t="s">
        <v>118</v>
      </c>
      <c r="D324" s="7" t="s">
        <v>1209</v>
      </c>
      <c r="E324" s="7"/>
      <c r="F324" s="55"/>
      <c r="G324" s="6"/>
      <c r="H324" s="6"/>
      <c r="I324" s="10" t="s">
        <v>110</v>
      </c>
      <c r="J324" s="11" t="s">
        <v>1159</v>
      </c>
      <c r="K324" s="102" t="s">
        <v>377</v>
      </c>
      <c r="L324" s="98"/>
      <c r="M324" s="98">
        <v>1000</v>
      </c>
      <c r="N324" s="60" t="s">
        <v>1210</v>
      </c>
      <c r="O324" s="88"/>
      <c r="P324" s="60" t="s">
        <v>1237</v>
      </c>
      <c r="Q324" s="60"/>
      <c r="R324" s="60"/>
      <c r="S324" s="89"/>
      <c r="T324" s="106"/>
      <c r="U324" s="88"/>
      <c r="V324" s="91"/>
      <c r="W324" s="12" t="s">
        <v>515</v>
      </c>
      <c r="X324" s="103"/>
      <c r="Y324" s="6" t="s">
        <v>1236</v>
      </c>
      <c r="Z324" s="64" t="s">
        <v>522</v>
      </c>
      <c r="AA324" s="12">
        <v>9</v>
      </c>
      <c r="AB324" s="6" t="s">
        <v>148</v>
      </c>
      <c r="AC324" s="64">
        <v>3084</v>
      </c>
      <c r="AJ324" s="60"/>
      <c r="AK324" s="67" t="s">
        <v>450</v>
      </c>
      <c r="AN324" s="60"/>
      <c r="AO324" s="60"/>
      <c r="AP324" s="60"/>
      <c r="AQ324" s="60"/>
      <c r="AR324" s="72"/>
      <c r="AS324" s="60"/>
      <c r="AT324" s="7"/>
      <c r="AU324" s="7"/>
      <c r="AV324" s="92"/>
      <c r="AW324" s="93"/>
      <c r="AX324" s="77"/>
      <c r="AY324" s="80"/>
      <c r="AZ324" s="94"/>
      <c r="BA324" s="94"/>
      <c r="BB324" s="80" t="s">
        <v>519</v>
      </c>
      <c r="BC324" s="95"/>
      <c r="BD324" s="92"/>
      <c r="BE324" s="92"/>
      <c r="BF324" s="92"/>
      <c r="BG324" s="92"/>
      <c r="BH324" s="92"/>
      <c r="BI324" s="92"/>
      <c r="BJ324" s="92"/>
      <c r="BK324" s="92"/>
      <c r="BL324" s="92"/>
      <c r="BM324" s="92"/>
      <c r="BN324" s="92"/>
      <c r="BO324" s="92"/>
      <c r="BP324" s="92"/>
      <c r="BQ324" s="92"/>
      <c r="BS324" s="6"/>
      <c r="BT324" s="11"/>
      <c r="BU324" s="6"/>
      <c r="BV324" s="6"/>
    </row>
    <row r="325" spans="1:74" ht="15.75" x14ac:dyDescent="0.25">
      <c r="A325" s="50" t="s">
        <v>449</v>
      </c>
      <c r="B325" s="52"/>
      <c r="C325" s="7" t="s">
        <v>118</v>
      </c>
      <c r="D325" s="7" t="s">
        <v>1209</v>
      </c>
      <c r="E325" s="7"/>
      <c r="F325" s="55"/>
      <c r="G325" s="6"/>
      <c r="H325" s="6"/>
      <c r="I325" s="10" t="s">
        <v>110</v>
      </c>
      <c r="J325" s="11" t="s">
        <v>986</v>
      </c>
      <c r="K325" s="102" t="s">
        <v>377</v>
      </c>
      <c r="L325" s="98"/>
      <c r="M325" s="98">
        <v>1000</v>
      </c>
      <c r="N325" s="60" t="s">
        <v>1210</v>
      </c>
      <c r="O325" s="88"/>
      <c r="P325" s="60" t="s">
        <v>1238</v>
      </c>
      <c r="Q325" s="60"/>
      <c r="R325" s="60"/>
      <c r="S325" s="89"/>
      <c r="T325" s="106"/>
      <c r="U325" s="88"/>
      <c r="V325" s="91"/>
      <c r="W325" s="12" t="s">
        <v>515</v>
      </c>
      <c r="X325" s="103"/>
      <c r="Y325" s="6" t="s">
        <v>1239</v>
      </c>
      <c r="Z325" s="64" t="s">
        <v>517</v>
      </c>
      <c r="AA325" s="12">
        <v>10</v>
      </c>
      <c r="AB325" s="6" t="s">
        <v>148</v>
      </c>
      <c r="AC325" s="64">
        <v>3060</v>
      </c>
      <c r="AJ325" s="60"/>
      <c r="AK325" s="67" t="s">
        <v>518</v>
      </c>
      <c r="AN325" s="60"/>
      <c r="AO325" s="60"/>
      <c r="AP325" s="60"/>
      <c r="AQ325" s="60"/>
      <c r="AR325" s="72"/>
      <c r="AS325" s="60"/>
      <c r="AT325" s="7"/>
      <c r="AU325" s="7"/>
      <c r="AV325" s="92"/>
      <c r="AW325" s="93"/>
      <c r="AX325" s="77"/>
      <c r="AY325" s="80"/>
      <c r="AZ325" s="94"/>
      <c r="BA325" s="94"/>
      <c r="BB325" s="80" t="s">
        <v>519</v>
      </c>
      <c r="BC325" s="95"/>
      <c r="BD325" s="92"/>
      <c r="BE325" s="92"/>
      <c r="BF325" s="92"/>
      <c r="BG325" s="92"/>
      <c r="BH325" s="92"/>
      <c r="BI325" s="92"/>
      <c r="BJ325" s="92"/>
      <c r="BK325" s="92"/>
      <c r="BL325" s="92"/>
      <c r="BM325" s="92"/>
      <c r="BN325" s="92"/>
      <c r="BO325" s="92"/>
      <c r="BP325" s="92"/>
      <c r="BQ325" s="92"/>
      <c r="BS325" s="6"/>
      <c r="BT325" s="11"/>
      <c r="BU325" s="6"/>
      <c r="BV325" s="6"/>
    </row>
    <row r="326" spans="1:74" ht="15.75" x14ac:dyDescent="0.25">
      <c r="A326" s="50" t="s">
        <v>449</v>
      </c>
      <c r="B326" s="52"/>
      <c r="C326" s="7" t="s">
        <v>118</v>
      </c>
      <c r="D326" s="7" t="s">
        <v>1209</v>
      </c>
      <c r="E326" s="7"/>
      <c r="F326" s="55"/>
      <c r="G326" s="6"/>
      <c r="H326" s="6"/>
      <c r="I326" s="10" t="s">
        <v>110</v>
      </c>
      <c r="J326" s="11" t="s">
        <v>989</v>
      </c>
      <c r="K326" s="102" t="s">
        <v>377</v>
      </c>
      <c r="L326" s="98"/>
      <c r="M326" s="98">
        <v>1000</v>
      </c>
      <c r="N326" s="60" t="s">
        <v>1210</v>
      </c>
      <c r="O326" s="88"/>
      <c r="P326" s="60" t="s">
        <v>1240</v>
      </c>
      <c r="Q326" s="60"/>
      <c r="R326" s="60"/>
      <c r="S326" s="89"/>
      <c r="T326" s="106"/>
      <c r="U326" s="88"/>
      <c r="V326" s="91"/>
      <c r="W326" s="12" t="s">
        <v>515</v>
      </c>
      <c r="X326" s="103"/>
      <c r="Y326" s="6" t="s">
        <v>1239</v>
      </c>
      <c r="Z326" s="64" t="s">
        <v>522</v>
      </c>
      <c r="AA326" s="12">
        <v>10</v>
      </c>
      <c r="AB326" s="6" t="s">
        <v>148</v>
      </c>
      <c r="AC326" s="64">
        <v>3084</v>
      </c>
      <c r="AJ326" s="60"/>
      <c r="AK326" s="67" t="s">
        <v>450</v>
      </c>
      <c r="AN326" s="60"/>
      <c r="AO326" s="60"/>
      <c r="AP326" s="60"/>
      <c r="AQ326" s="60"/>
      <c r="AR326" s="72"/>
      <c r="AS326" s="60"/>
      <c r="AT326" s="7"/>
      <c r="AU326" s="7"/>
      <c r="AV326" s="92"/>
      <c r="AW326" s="93"/>
      <c r="AX326" s="77"/>
      <c r="AY326" s="80"/>
      <c r="AZ326" s="94"/>
      <c r="BA326" s="94"/>
      <c r="BB326" s="80" t="s">
        <v>519</v>
      </c>
      <c r="BC326" s="95"/>
      <c r="BD326" s="92"/>
      <c r="BE326" s="92"/>
      <c r="BF326" s="92"/>
      <c r="BG326" s="92"/>
      <c r="BH326" s="92"/>
      <c r="BI326" s="92"/>
      <c r="BJ326" s="92"/>
      <c r="BK326" s="92"/>
      <c r="BL326" s="92"/>
      <c r="BM326" s="92"/>
      <c r="BN326" s="92"/>
      <c r="BO326" s="92"/>
      <c r="BP326" s="92"/>
      <c r="BQ326" s="92"/>
      <c r="BS326" s="6"/>
      <c r="BT326" s="11"/>
      <c r="BU326" s="6"/>
      <c r="BV326" s="6"/>
    </row>
    <row r="327" spans="1:74" ht="15.75" x14ac:dyDescent="0.25">
      <c r="A327" s="50" t="s">
        <v>449</v>
      </c>
      <c r="B327" s="52"/>
      <c r="C327" s="7" t="s">
        <v>118</v>
      </c>
      <c r="D327" s="7" t="s">
        <v>1209</v>
      </c>
      <c r="E327" s="7"/>
      <c r="F327" s="55"/>
      <c r="G327" s="6"/>
      <c r="H327" s="6"/>
      <c r="I327" s="10" t="s">
        <v>110</v>
      </c>
      <c r="J327" s="11" t="s">
        <v>991</v>
      </c>
      <c r="K327" s="102" t="s">
        <v>377</v>
      </c>
      <c r="L327" s="98"/>
      <c r="M327" s="98">
        <v>1000</v>
      </c>
      <c r="N327" s="60" t="s">
        <v>1210</v>
      </c>
      <c r="O327" s="88"/>
      <c r="P327" s="60" t="s">
        <v>1241</v>
      </c>
      <c r="Q327" s="60"/>
      <c r="R327" s="60"/>
      <c r="S327" s="89"/>
      <c r="T327" s="106"/>
      <c r="U327" s="88"/>
      <c r="V327" s="91"/>
      <c r="W327" s="12" t="s">
        <v>515</v>
      </c>
      <c r="X327" s="103"/>
      <c r="Y327" s="6" t="s">
        <v>1242</v>
      </c>
      <c r="Z327" s="64" t="s">
        <v>517</v>
      </c>
      <c r="AA327" s="12">
        <v>11</v>
      </c>
      <c r="AB327" s="6" t="s">
        <v>148</v>
      </c>
      <c r="AC327" s="64">
        <v>3060</v>
      </c>
      <c r="AJ327" s="60"/>
      <c r="AK327" s="67" t="s">
        <v>518</v>
      </c>
      <c r="AN327" s="60"/>
      <c r="AO327" s="60"/>
      <c r="AP327" s="60"/>
      <c r="AQ327" s="60"/>
      <c r="AR327" s="72"/>
      <c r="AS327" s="60"/>
      <c r="AT327" s="7"/>
      <c r="AU327" s="7"/>
      <c r="AV327" s="92"/>
      <c r="AW327" s="93"/>
      <c r="AX327" s="77"/>
      <c r="AY327" s="80"/>
      <c r="AZ327" s="94"/>
      <c r="BA327" s="94"/>
      <c r="BB327" s="80" t="s">
        <v>519</v>
      </c>
      <c r="BC327" s="95"/>
      <c r="BD327" s="92"/>
      <c r="BE327" s="92"/>
      <c r="BF327" s="92"/>
      <c r="BG327" s="92"/>
      <c r="BH327" s="92"/>
      <c r="BI327" s="92"/>
      <c r="BJ327" s="92"/>
      <c r="BK327" s="92"/>
      <c r="BL327" s="92"/>
      <c r="BM327" s="92"/>
      <c r="BN327" s="92"/>
      <c r="BO327" s="92"/>
      <c r="BP327" s="92"/>
      <c r="BQ327" s="92"/>
      <c r="BS327" s="6"/>
      <c r="BT327" s="11"/>
      <c r="BU327" s="6"/>
      <c r="BV327" s="6"/>
    </row>
    <row r="328" spans="1:74" ht="15.75" x14ac:dyDescent="0.25">
      <c r="A328" s="50" t="s">
        <v>449</v>
      </c>
      <c r="B328" s="52"/>
      <c r="C328" s="7" t="s">
        <v>118</v>
      </c>
      <c r="D328" s="7" t="s">
        <v>1209</v>
      </c>
      <c r="E328" s="7"/>
      <c r="F328" s="55"/>
      <c r="G328" s="6"/>
      <c r="H328" s="6"/>
      <c r="I328" s="10" t="s">
        <v>110</v>
      </c>
      <c r="J328" s="11" t="s">
        <v>994</v>
      </c>
      <c r="K328" s="102" t="s">
        <v>377</v>
      </c>
      <c r="L328" s="98"/>
      <c r="M328" s="98">
        <v>1000</v>
      </c>
      <c r="N328" s="60" t="s">
        <v>1210</v>
      </c>
      <c r="O328" s="88"/>
      <c r="P328" s="60" t="s">
        <v>1243</v>
      </c>
      <c r="Q328" s="60"/>
      <c r="R328" s="60"/>
      <c r="S328" s="89"/>
      <c r="T328" s="106"/>
      <c r="U328" s="88"/>
      <c r="V328" s="91"/>
      <c r="W328" s="12" t="s">
        <v>515</v>
      </c>
      <c r="X328" s="103"/>
      <c r="Y328" s="6" t="s">
        <v>1242</v>
      </c>
      <c r="Z328" s="64" t="s">
        <v>522</v>
      </c>
      <c r="AA328" s="12">
        <v>11</v>
      </c>
      <c r="AB328" s="6" t="s">
        <v>148</v>
      </c>
      <c r="AC328" s="64">
        <v>3084</v>
      </c>
      <c r="AJ328" s="60"/>
      <c r="AK328" s="67" t="s">
        <v>450</v>
      </c>
      <c r="AN328" s="60"/>
      <c r="AO328" s="60"/>
      <c r="AP328" s="60"/>
      <c r="AQ328" s="60"/>
      <c r="AR328" s="72"/>
      <c r="AS328" s="60"/>
      <c r="AT328" s="7"/>
      <c r="AU328" s="7"/>
      <c r="AV328" s="92"/>
      <c r="AW328" s="93"/>
      <c r="AX328" s="77"/>
      <c r="AY328" s="80"/>
      <c r="AZ328" s="94"/>
      <c r="BA328" s="94"/>
      <c r="BB328" s="80" t="s">
        <v>519</v>
      </c>
      <c r="BC328" s="95"/>
      <c r="BD328" s="92"/>
      <c r="BE328" s="92"/>
      <c r="BF328" s="92"/>
      <c r="BG328" s="92"/>
      <c r="BH328" s="92"/>
      <c r="BI328" s="92"/>
      <c r="BJ328" s="92"/>
      <c r="BK328" s="92"/>
      <c r="BL328" s="92"/>
      <c r="BM328" s="92"/>
      <c r="BN328" s="92"/>
      <c r="BO328" s="92"/>
      <c r="BP328" s="92"/>
      <c r="BQ328" s="92"/>
      <c r="BS328" s="6"/>
      <c r="BT328" s="11"/>
      <c r="BU328" s="6"/>
      <c r="BV328" s="6"/>
    </row>
    <row r="329" spans="1:74" ht="15.75" x14ac:dyDescent="0.25">
      <c r="A329" s="50" t="s">
        <v>449</v>
      </c>
      <c r="B329" s="52"/>
      <c r="C329" s="7" t="s">
        <v>118</v>
      </c>
      <c r="D329" s="7" t="s">
        <v>1209</v>
      </c>
      <c r="E329" s="7"/>
      <c r="F329" s="55"/>
      <c r="G329" s="6"/>
      <c r="H329" s="6"/>
      <c r="I329" s="10" t="s">
        <v>110</v>
      </c>
      <c r="J329" s="11" t="s">
        <v>996</v>
      </c>
      <c r="K329" s="102" t="s">
        <v>377</v>
      </c>
      <c r="L329" s="98"/>
      <c r="M329" s="98">
        <v>1000</v>
      </c>
      <c r="N329" s="60" t="s">
        <v>1210</v>
      </c>
      <c r="O329" s="88"/>
      <c r="P329" s="60" t="s">
        <v>1244</v>
      </c>
      <c r="Q329" s="60"/>
      <c r="R329" s="60"/>
      <c r="S329" s="89"/>
      <c r="T329" s="106"/>
      <c r="U329" s="88"/>
      <c r="V329" s="91"/>
      <c r="W329" s="12" t="s">
        <v>515</v>
      </c>
      <c r="X329" s="103"/>
      <c r="Y329" s="6" t="s">
        <v>1245</v>
      </c>
      <c r="Z329" s="64" t="s">
        <v>517</v>
      </c>
      <c r="AA329" s="12">
        <v>12</v>
      </c>
      <c r="AB329" s="6" t="s">
        <v>148</v>
      </c>
      <c r="AC329" s="64">
        <v>3060</v>
      </c>
      <c r="AJ329" s="60"/>
      <c r="AK329" s="67" t="s">
        <v>518</v>
      </c>
      <c r="AN329" s="60"/>
      <c r="AO329" s="60"/>
      <c r="AP329" s="60"/>
      <c r="AQ329" s="60"/>
      <c r="AR329" s="72"/>
      <c r="AS329" s="60"/>
      <c r="AT329" s="7"/>
      <c r="AU329" s="7"/>
      <c r="AV329" s="92"/>
      <c r="AW329" s="93"/>
      <c r="AX329" s="77"/>
      <c r="AY329" s="80"/>
      <c r="AZ329" s="94"/>
      <c r="BA329" s="94"/>
      <c r="BB329" s="80" t="s">
        <v>519</v>
      </c>
      <c r="BC329" s="95"/>
      <c r="BD329" s="92"/>
      <c r="BE329" s="92"/>
      <c r="BF329" s="92"/>
      <c r="BG329" s="92"/>
      <c r="BH329" s="92"/>
      <c r="BI329" s="92"/>
      <c r="BJ329" s="92"/>
      <c r="BK329" s="92"/>
      <c r="BL329" s="92"/>
      <c r="BM329" s="92"/>
      <c r="BN329" s="92"/>
      <c r="BO329" s="92"/>
      <c r="BP329" s="92"/>
      <c r="BQ329" s="92"/>
      <c r="BS329" s="6"/>
      <c r="BT329" s="11"/>
      <c r="BU329" s="6"/>
      <c r="BV329" s="6"/>
    </row>
    <row r="330" spans="1:74" ht="15.75" x14ac:dyDescent="0.25">
      <c r="A330" s="50" t="s">
        <v>449</v>
      </c>
      <c r="B330" s="52"/>
      <c r="C330" s="7" t="s">
        <v>118</v>
      </c>
      <c r="D330" s="7" t="s">
        <v>1209</v>
      </c>
      <c r="E330" s="7"/>
      <c r="F330" s="55"/>
      <c r="G330" s="6"/>
      <c r="H330" s="6"/>
      <c r="I330" s="10" t="s">
        <v>110</v>
      </c>
      <c r="J330" s="11" t="s">
        <v>999</v>
      </c>
      <c r="K330" s="102" t="s">
        <v>377</v>
      </c>
      <c r="L330" s="98"/>
      <c r="M330" s="98">
        <v>1000</v>
      </c>
      <c r="N330" s="60" t="s">
        <v>1210</v>
      </c>
      <c r="O330" s="88"/>
      <c r="P330" s="60" t="s">
        <v>1246</v>
      </c>
      <c r="Q330" s="60"/>
      <c r="R330" s="60"/>
      <c r="S330" s="89"/>
      <c r="T330" s="106"/>
      <c r="U330" s="88"/>
      <c r="V330" s="91"/>
      <c r="W330" s="12" t="s">
        <v>515</v>
      </c>
      <c r="X330" s="103"/>
      <c r="Y330" s="6" t="s">
        <v>1245</v>
      </c>
      <c r="Z330" s="64" t="s">
        <v>522</v>
      </c>
      <c r="AA330" s="12">
        <v>12</v>
      </c>
      <c r="AB330" s="6" t="s">
        <v>148</v>
      </c>
      <c r="AC330" s="64">
        <v>3084</v>
      </c>
      <c r="AJ330" s="60"/>
      <c r="AK330" s="67" t="s">
        <v>450</v>
      </c>
      <c r="AN330" s="60"/>
      <c r="AO330" s="60"/>
      <c r="AP330" s="60"/>
      <c r="AQ330" s="60"/>
      <c r="AR330" s="72"/>
      <c r="AS330" s="60"/>
      <c r="AT330" s="7"/>
      <c r="AU330" s="7"/>
      <c r="AV330" s="92"/>
      <c r="AW330" s="93"/>
      <c r="AX330" s="77"/>
      <c r="AY330" s="80"/>
      <c r="AZ330" s="94"/>
      <c r="BA330" s="94"/>
      <c r="BB330" s="80" t="s">
        <v>519</v>
      </c>
      <c r="BC330" s="95"/>
      <c r="BD330" s="92"/>
      <c r="BE330" s="92"/>
      <c r="BF330" s="92"/>
      <c r="BG330" s="92"/>
      <c r="BH330" s="92"/>
      <c r="BI330" s="92"/>
      <c r="BJ330" s="92"/>
      <c r="BK330" s="92"/>
      <c r="BL330" s="92"/>
      <c r="BM330" s="92"/>
      <c r="BN330" s="92"/>
      <c r="BO330" s="92"/>
      <c r="BP330" s="92"/>
      <c r="BQ330" s="92"/>
      <c r="BS330" s="6"/>
      <c r="BT330" s="11"/>
      <c r="BU330" s="6"/>
      <c r="BV330" s="6"/>
    </row>
    <row r="331" spans="1:74" ht="15.75" x14ac:dyDescent="0.25">
      <c r="A331" s="50" t="s">
        <v>449</v>
      </c>
      <c r="B331" s="52"/>
      <c r="C331" s="7" t="s">
        <v>118</v>
      </c>
      <c r="D331" s="7" t="s">
        <v>1209</v>
      </c>
      <c r="E331" s="7"/>
      <c r="F331" s="55"/>
      <c r="G331" s="6"/>
      <c r="H331" s="6"/>
      <c r="I331" s="10" t="s">
        <v>110</v>
      </c>
      <c r="J331" s="11" t="s">
        <v>1001</v>
      </c>
      <c r="K331" s="102" t="s">
        <v>377</v>
      </c>
      <c r="L331" s="98"/>
      <c r="M331" s="98">
        <v>1000</v>
      </c>
      <c r="N331" s="60" t="s">
        <v>1210</v>
      </c>
      <c r="O331" s="88"/>
      <c r="P331" s="60" t="s">
        <v>1247</v>
      </c>
      <c r="Q331" s="60"/>
      <c r="R331" s="60"/>
      <c r="S331" s="89"/>
      <c r="T331" s="106"/>
      <c r="U331" s="88"/>
      <c r="V331" s="91"/>
      <c r="W331" s="12" t="s">
        <v>515</v>
      </c>
      <c r="X331" s="103"/>
      <c r="Y331" s="6" t="s">
        <v>1248</v>
      </c>
      <c r="Z331" s="64" t="s">
        <v>517</v>
      </c>
      <c r="AA331" s="12">
        <v>13</v>
      </c>
      <c r="AB331" s="6" t="s">
        <v>148</v>
      </c>
      <c r="AC331" s="64">
        <v>3060</v>
      </c>
      <c r="AJ331" s="60"/>
      <c r="AK331" s="67" t="s">
        <v>518</v>
      </c>
      <c r="AN331" s="60"/>
      <c r="AO331" s="60"/>
      <c r="AP331" s="60"/>
      <c r="AQ331" s="60"/>
      <c r="AR331" s="72"/>
      <c r="AS331" s="60"/>
      <c r="AT331" s="7"/>
      <c r="AU331" s="7"/>
      <c r="AV331" s="92"/>
      <c r="AW331" s="93"/>
      <c r="AX331" s="77"/>
      <c r="AY331" s="80"/>
      <c r="AZ331" s="94"/>
      <c r="BA331" s="94"/>
      <c r="BB331" s="80" t="s">
        <v>519</v>
      </c>
      <c r="BC331" s="95"/>
      <c r="BD331" s="92"/>
      <c r="BE331" s="92"/>
      <c r="BF331" s="92"/>
      <c r="BG331" s="92"/>
      <c r="BH331" s="92"/>
      <c r="BI331" s="92"/>
      <c r="BJ331" s="92"/>
      <c r="BK331" s="92"/>
      <c r="BL331" s="92"/>
      <c r="BM331" s="92"/>
      <c r="BN331" s="92"/>
      <c r="BO331" s="92"/>
      <c r="BP331" s="92"/>
      <c r="BQ331" s="92"/>
      <c r="BS331" s="6"/>
      <c r="BT331" s="11"/>
      <c r="BU331" s="6"/>
      <c r="BV331" s="6"/>
    </row>
    <row r="332" spans="1:74" ht="15.75" x14ac:dyDescent="0.25">
      <c r="A332" s="50" t="s">
        <v>449</v>
      </c>
      <c r="B332" s="52"/>
      <c r="C332" s="7" t="s">
        <v>118</v>
      </c>
      <c r="D332" s="7" t="s">
        <v>1209</v>
      </c>
      <c r="E332" s="7"/>
      <c r="F332" s="55"/>
      <c r="G332" s="6"/>
      <c r="H332" s="6"/>
      <c r="I332" s="10" t="s">
        <v>110</v>
      </c>
      <c r="J332" s="11" t="s">
        <v>1004</v>
      </c>
      <c r="K332" s="102" t="s">
        <v>377</v>
      </c>
      <c r="L332" s="98"/>
      <c r="M332" s="98">
        <v>1000</v>
      </c>
      <c r="N332" s="60" t="s">
        <v>1210</v>
      </c>
      <c r="O332" s="88"/>
      <c r="P332" s="60" t="s">
        <v>1249</v>
      </c>
      <c r="Q332" s="60"/>
      <c r="R332" s="60"/>
      <c r="S332" s="89"/>
      <c r="T332" s="106"/>
      <c r="U332" s="88"/>
      <c r="V332" s="91"/>
      <c r="W332" s="12" t="s">
        <v>515</v>
      </c>
      <c r="X332" s="103"/>
      <c r="Y332" s="6" t="s">
        <v>1248</v>
      </c>
      <c r="Z332" s="64" t="s">
        <v>522</v>
      </c>
      <c r="AA332" s="12">
        <v>13</v>
      </c>
      <c r="AB332" s="6" t="s">
        <v>148</v>
      </c>
      <c r="AC332" s="64">
        <v>3084</v>
      </c>
      <c r="AJ332" s="60"/>
      <c r="AK332" s="67" t="s">
        <v>450</v>
      </c>
      <c r="AN332" s="60"/>
      <c r="AO332" s="60"/>
      <c r="AP332" s="60"/>
      <c r="AQ332" s="60"/>
      <c r="AR332" s="72"/>
      <c r="AS332" s="60"/>
      <c r="AT332" s="7"/>
      <c r="AU332" s="7"/>
      <c r="AV332" s="92"/>
      <c r="AW332" s="93"/>
      <c r="AX332" s="77"/>
      <c r="AY332" s="80"/>
      <c r="AZ332" s="94"/>
      <c r="BA332" s="94"/>
      <c r="BB332" s="80" t="s">
        <v>519</v>
      </c>
      <c r="BC332" s="95"/>
      <c r="BD332" s="92"/>
      <c r="BE332" s="92"/>
      <c r="BF332" s="92"/>
      <c r="BG332" s="92"/>
      <c r="BH332" s="92"/>
      <c r="BI332" s="92"/>
      <c r="BJ332" s="92"/>
      <c r="BK332" s="92"/>
      <c r="BL332" s="92"/>
      <c r="BM332" s="92"/>
      <c r="BN332" s="92"/>
      <c r="BO332" s="92"/>
      <c r="BP332" s="92"/>
      <c r="BQ332" s="92"/>
      <c r="BS332" s="6"/>
      <c r="BT332" s="11"/>
      <c r="BU332" s="6"/>
      <c r="BV332" s="6"/>
    </row>
    <row r="333" spans="1:74" ht="15.75" x14ac:dyDescent="0.25">
      <c r="A333" s="50" t="s">
        <v>449</v>
      </c>
      <c r="B333" s="52"/>
      <c r="C333" s="7" t="s">
        <v>118</v>
      </c>
      <c r="D333" s="7" t="s">
        <v>1209</v>
      </c>
      <c r="E333" s="7"/>
      <c r="F333" s="55"/>
      <c r="G333" s="6"/>
      <c r="H333" s="6"/>
      <c r="I333" s="10" t="s">
        <v>110</v>
      </c>
      <c r="J333" s="11" t="s">
        <v>1006</v>
      </c>
      <c r="K333" s="102" t="s">
        <v>377</v>
      </c>
      <c r="L333" s="98"/>
      <c r="M333" s="98">
        <v>1000</v>
      </c>
      <c r="N333" s="60" t="s">
        <v>1210</v>
      </c>
      <c r="O333" s="88"/>
      <c r="P333" s="60" t="s">
        <v>1250</v>
      </c>
      <c r="Q333" s="60"/>
      <c r="R333" s="60"/>
      <c r="S333" s="89"/>
      <c r="T333" s="106"/>
      <c r="U333" s="88"/>
      <c r="V333" s="91"/>
      <c r="W333" s="12" t="s">
        <v>515</v>
      </c>
      <c r="X333" s="103"/>
      <c r="Y333" s="6" t="s">
        <v>1251</v>
      </c>
      <c r="Z333" s="64" t="s">
        <v>517</v>
      </c>
      <c r="AA333" s="12">
        <v>14</v>
      </c>
      <c r="AB333" s="6" t="s">
        <v>148</v>
      </c>
      <c r="AC333" s="64">
        <v>3060</v>
      </c>
      <c r="AJ333" s="60"/>
      <c r="AK333" s="67" t="s">
        <v>518</v>
      </c>
      <c r="AN333" s="60"/>
      <c r="AO333" s="60"/>
      <c r="AP333" s="60"/>
      <c r="AQ333" s="60"/>
      <c r="AR333" s="72"/>
      <c r="AS333" s="60"/>
      <c r="AT333" s="7"/>
      <c r="AU333" s="7"/>
      <c r="AV333" s="92"/>
      <c r="AW333" s="93"/>
      <c r="AX333" s="77"/>
      <c r="AY333" s="80"/>
      <c r="AZ333" s="94"/>
      <c r="BA333" s="94"/>
      <c r="BB333" s="80" t="s">
        <v>519</v>
      </c>
      <c r="BC333" s="95"/>
      <c r="BD333" s="92"/>
      <c r="BE333" s="92"/>
      <c r="BF333" s="92"/>
      <c r="BG333" s="92"/>
      <c r="BH333" s="92"/>
      <c r="BI333" s="92"/>
      <c r="BJ333" s="92"/>
      <c r="BK333" s="92"/>
      <c r="BL333" s="92"/>
      <c r="BM333" s="92"/>
      <c r="BN333" s="92"/>
      <c r="BO333" s="92"/>
      <c r="BP333" s="92"/>
      <c r="BQ333" s="92"/>
      <c r="BS333" s="6"/>
      <c r="BT333" s="11"/>
      <c r="BU333" s="6"/>
      <c r="BV333" s="6"/>
    </row>
    <row r="334" spans="1:74" ht="15.75" x14ac:dyDescent="0.25">
      <c r="A334" s="50" t="s">
        <v>449</v>
      </c>
      <c r="B334" s="52"/>
      <c r="C334" s="7" t="s">
        <v>118</v>
      </c>
      <c r="D334" s="7" t="s">
        <v>1209</v>
      </c>
      <c r="E334" s="7"/>
      <c r="F334" s="55"/>
      <c r="G334" s="6"/>
      <c r="H334" s="6"/>
      <c r="I334" s="10" t="s">
        <v>110</v>
      </c>
      <c r="J334" s="11" t="s">
        <v>1009</v>
      </c>
      <c r="K334" s="102" t="s">
        <v>377</v>
      </c>
      <c r="L334" s="98"/>
      <c r="M334" s="98">
        <v>1000</v>
      </c>
      <c r="N334" s="60" t="s">
        <v>1210</v>
      </c>
      <c r="O334" s="88"/>
      <c r="P334" s="60" t="s">
        <v>1252</v>
      </c>
      <c r="Q334" s="60"/>
      <c r="R334" s="60"/>
      <c r="S334" s="89"/>
      <c r="T334" s="106"/>
      <c r="U334" s="88"/>
      <c r="V334" s="91"/>
      <c r="W334" s="12" t="s">
        <v>515</v>
      </c>
      <c r="X334" s="103"/>
      <c r="Y334" s="6" t="s">
        <v>1251</v>
      </c>
      <c r="Z334" s="64" t="s">
        <v>522</v>
      </c>
      <c r="AA334" s="12">
        <v>14</v>
      </c>
      <c r="AB334" s="6" t="s">
        <v>148</v>
      </c>
      <c r="AC334" s="64">
        <v>3084</v>
      </c>
      <c r="AJ334" s="60"/>
      <c r="AK334" s="67" t="s">
        <v>450</v>
      </c>
      <c r="AN334" s="60"/>
      <c r="AO334" s="60"/>
      <c r="AP334" s="60"/>
      <c r="AQ334" s="60"/>
      <c r="AR334" s="72"/>
      <c r="AS334" s="60"/>
      <c r="AT334" s="7"/>
      <c r="AU334" s="7"/>
      <c r="AV334" s="92"/>
      <c r="AW334" s="93"/>
      <c r="AX334" s="77"/>
      <c r="AY334" s="80"/>
      <c r="AZ334" s="94"/>
      <c r="BA334" s="94"/>
      <c r="BB334" s="80" t="s">
        <v>519</v>
      </c>
      <c r="BC334" s="95"/>
      <c r="BD334" s="92"/>
      <c r="BE334" s="92"/>
      <c r="BF334" s="92"/>
      <c r="BG334" s="92"/>
      <c r="BH334" s="92"/>
      <c r="BI334" s="92"/>
      <c r="BJ334" s="92"/>
      <c r="BK334" s="92"/>
      <c r="BL334" s="92"/>
      <c r="BM334" s="92"/>
      <c r="BN334" s="92"/>
      <c r="BO334" s="92"/>
      <c r="BP334" s="92"/>
      <c r="BQ334" s="92"/>
      <c r="BS334" s="6"/>
      <c r="BT334" s="11"/>
      <c r="BU334" s="6"/>
      <c r="BV334" s="6"/>
    </row>
    <row r="335" spans="1:74" ht="15.75" x14ac:dyDescent="0.25">
      <c r="A335" s="50" t="s">
        <v>449</v>
      </c>
      <c r="B335" s="52"/>
      <c r="C335" s="7" t="s">
        <v>118</v>
      </c>
      <c r="D335" s="7" t="s">
        <v>1209</v>
      </c>
      <c r="E335" s="7"/>
      <c r="F335" s="55"/>
      <c r="G335" s="6"/>
      <c r="H335" s="6"/>
      <c r="I335" s="10" t="s">
        <v>110</v>
      </c>
      <c r="J335" s="11" t="s">
        <v>1011</v>
      </c>
      <c r="K335" s="102" t="s">
        <v>377</v>
      </c>
      <c r="L335" s="98"/>
      <c r="M335" s="98">
        <v>1000</v>
      </c>
      <c r="N335" s="60" t="s">
        <v>1210</v>
      </c>
      <c r="O335" s="88"/>
      <c r="P335" s="60" t="s">
        <v>1253</v>
      </c>
      <c r="Q335" s="60"/>
      <c r="R335" s="60"/>
      <c r="S335" s="89"/>
      <c r="T335" s="106"/>
      <c r="U335" s="88"/>
      <c r="V335" s="91"/>
      <c r="W335" s="12" t="s">
        <v>515</v>
      </c>
      <c r="X335" s="103"/>
      <c r="Y335" s="6" t="s">
        <v>1254</v>
      </c>
      <c r="Z335" s="64" t="s">
        <v>517</v>
      </c>
      <c r="AA335" s="12">
        <v>15</v>
      </c>
      <c r="AB335" s="6" t="s">
        <v>148</v>
      </c>
      <c r="AC335" s="64">
        <v>3060</v>
      </c>
      <c r="AJ335" s="60"/>
      <c r="AK335" s="67" t="s">
        <v>518</v>
      </c>
      <c r="AN335" s="60"/>
      <c r="AO335" s="60"/>
      <c r="AP335" s="60"/>
      <c r="AQ335" s="60"/>
      <c r="AR335" s="72"/>
      <c r="AS335" s="60"/>
      <c r="AT335" s="7"/>
      <c r="AU335" s="7"/>
      <c r="AV335" s="92"/>
      <c r="AW335" s="93"/>
      <c r="AX335" s="77"/>
      <c r="AY335" s="80"/>
      <c r="AZ335" s="94"/>
      <c r="BA335" s="94"/>
      <c r="BB335" s="80" t="s">
        <v>519</v>
      </c>
      <c r="BC335" s="95"/>
      <c r="BD335" s="92"/>
      <c r="BE335" s="92"/>
      <c r="BF335" s="92"/>
      <c r="BG335" s="92"/>
      <c r="BH335" s="92"/>
      <c r="BI335" s="92"/>
      <c r="BJ335" s="92"/>
      <c r="BK335" s="92"/>
      <c r="BL335" s="92"/>
      <c r="BM335" s="92"/>
      <c r="BN335" s="92"/>
      <c r="BO335" s="92"/>
      <c r="BP335" s="92"/>
      <c r="BQ335" s="92"/>
      <c r="BS335" s="6"/>
      <c r="BT335" s="11"/>
      <c r="BU335" s="6"/>
      <c r="BV335" s="6"/>
    </row>
    <row r="336" spans="1:74" ht="15.75" x14ac:dyDescent="0.25">
      <c r="A336" s="50" t="s">
        <v>449</v>
      </c>
      <c r="B336" s="52"/>
      <c r="C336" s="7" t="s">
        <v>118</v>
      </c>
      <c r="D336" s="7" t="s">
        <v>1209</v>
      </c>
      <c r="E336" s="7"/>
      <c r="F336" s="55"/>
      <c r="G336" s="6"/>
      <c r="H336" s="6"/>
      <c r="I336" s="10" t="s">
        <v>110</v>
      </c>
      <c r="J336" s="11" t="s">
        <v>1014</v>
      </c>
      <c r="K336" s="102" t="s">
        <v>377</v>
      </c>
      <c r="L336" s="98"/>
      <c r="M336" s="98">
        <v>1000</v>
      </c>
      <c r="N336" s="60" t="s">
        <v>1210</v>
      </c>
      <c r="O336" s="88"/>
      <c r="P336" s="60" t="s">
        <v>1255</v>
      </c>
      <c r="Q336" s="60"/>
      <c r="R336" s="60"/>
      <c r="S336" s="89"/>
      <c r="T336" s="106"/>
      <c r="U336" s="88"/>
      <c r="V336" s="91"/>
      <c r="W336" s="12" t="s">
        <v>515</v>
      </c>
      <c r="X336" s="103"/>
      <c r="Y336" s="6" t="s">
        <v>1254</v>
      </c>
      <c r="Z336" s="64" t="s">
        <v>522</v>
      </c>
      <c r="AA336" s="12">
        <v>15</v>
      </c>
      <c r="AB336" s="6" t="s">
        <v>148</v>
      </c>
      <c r="AC336" s="64">
        <v>3084</v>
      </c>
      <c r="AJ336" s="60"/>
      <c r="AK336" s="67" t="s">
        <v>450</v>
      </c>
      <c r="AN336" s="60"/>
      <c r="AO336" s="60"/>
      <c r="AP336" s="60"/>
      <c r="AQ336" s="60"/>
      <c r="AR336" s="72"/>
      <c r="AS336" s="60"/>
      <c r="AT336" s="7"/>
      <c r="AU336" s="7"/>
      <c r="AV336" s="92"/>
      <c r="AW336" s="93"/>
      <c r="AX336" s="77"/>
      <c r="AY336" s="80"/>
      <c r="AZ336" s="94"/>
      <c r="BA336" s="94"/>
      <c r="BB336" s="80" t="s">
        <v>519</v>
      </c>
      <c r="BC336" s="95"/>
      <c r="BD336" s="92"/>
      <c r="BE336" s="92"/>
      <c r="BF336" s="92"/>
      <c r="BG336" s="92"/>
      <c r="BH336" s="92"/>
      <c r="BI336" s="92"/>
      <c r="BJ336" s="92"/>
      <c r="BK336" s="92"/>
      <c r="BL336" s="92"/>
      <c r="BM336" s="92"/>
      <c r="BN336" s="92"/>
      <c r="BO336" s="92"/>
      <c r="BP336" s="92"/>
      <c r="BQ336" s="92"/>
      <c r="BS336" s="6"/>
      <c r="BT336" s="11"/>
      <c r="BU336" s="6"/>
      <c r="BV336" s="6"/>
    </row>
    <row r="337" spans="1:74" ht="15.75" x14ac:dyDescent="0.25">
      <c r="A337" s="50" t="s">
        <v>449</v>
      </c>
      <c r="B337" s="52"/>
      <c r="C337" s="7" t="s">
        <v>118</v>
      </c>
      <c r="D337" s="7" t="s">
        <v>1209</v>
      </c>
      <c r="E337" s="7"/>
      <c r="F337" s="55"/>
      <c r="G337" s="6"/>
      <c r="H337" s="6"/>
      <c r="I337" s="10" t="s">
        <v>110</v>
      </c>
      <c r="J337" s="11" t="s">
        <v>1016</v>
      </c>
      <c r="K337" s="102" t="s">
        <v>377</v>
      </c>
      <c r="L337" s="98"/>
      <c r="M337" s="98">
        <v>1000</v>
      </c>
      <c r="N337" s="60" t="s">
        <v>1210</v>
      </c>
      <c r="O337" s="88"/>
      <c r="P337" s="60" t="s">
        <v>1256</v>
      </c>
      <c r="Q337" s="60"/>
      <c r="R337" s="60"/>
      <c r="S337" s="89"/>
      <c r="T337" s="106"/>
      <c r="U337" s="88"/>
      <c r="V337" s="91"/>
      <c r="W337" s="12" t="s">
        <v>515</v>
      </c>
      <c r="X337" s="103"/>
      <c r="Y337" s="6" t="s">
        <v>1257</v>
      </c>
      <c r="Z337" s="64" t="s">
        <v>517</v>
      </c>
      <c r="AA337" s="12">
        <v>16</v>
      </c>
      <c r="AB337" s="6" t="s">
        <v>148</v>
      </c>
      <c r="AC337" s="64">
        <v>3060</v>
      </c>
      <c r="AJ337" s="60"/>
      <c r="AK337" s="67" t="s">
        <v>518</v>
      </c>
      <c r="AN337" s="60"/>
      <c r="AO337" s="60"/>
      <c r="AP337" s="60"/>
      <c r="AQ337" s="60"/>
      <c r="AR337" s="72"/>
      <c r="AS337" s="60"/>
      <c r="AT337" s="7"/>
      <c r="AU337" s="7"/>
      <c r="AV337" s="92"/>
      <c r="AW337" s="93"/>
      <c r="AX337" s="77"/>
      <c r="AY337" s="80"/>
      <c r="AZ337" s="94"/>
      <c r="BA337" s="94"/>
      <c r="BB337" s="80" t="s">
        <v>519</v>
      </c>
      <c r="BC337" s="95"/>
      <c r="BD337" s="92"/>
      <c r="BE337" s="92"/>
      <c r="BF337" s="92"/>
      <c r="BG337" s="92"/>
      <c r="BH337" s="92"/>
      <c r="BI337" s="92"/>
      <c r="BJ337" s="92"/>
      <c r="BK337" s="92"/>
      <c r="BL337" s="92"/>
      <c r="BM337" s="92"/>
      <c r="BN337" s="92"/>
      <c r="BO337" s="92"/>
      <c r="BP337" s="92"/>
      <c r="BQ337" s="92"/>
      <c r="BS337" s="6"/>
      <c r="BT337" s="11"/>
      <c r="BU337" s="6"/>
      <c r="BV337" s="6"/>
    </row>
    <row r="338" spans="1:74" ht="15.75" x14ac:dyDescent="0.25">
      <c r="A338" s="50" t="s">
        <v>449</v>
      </c>
      <c r="B338" s="52"/>
      <c r="C338" s="7" t="s">
        <v>118</v>
      </c>
      <c r="D338" s="7" t="s">
        <v>1209</v>
      </c>
      <c r="E338" s="7"/>
      <c r="F338" s="55"/>
      <c r="G338" s="6"/>
      <c r="H338" s="6"/>
      <c r="I338" s="10" t="s">
        <v>110</v>
      </c>
      <c r="J338" s="11" t="s">
        <v>1019</v>
      </c>
      <c r="K338" s="102" t="s">
        <v>377</v>
      </c>
      <c r="L338" s="98"/>
      <c r="M338" s="98">
        <v>1000</v>
      </c>
      <c r="N338" s="60" t="s">
        <v>1210</v>
      </c>
      <c r="O338" s="88"/>
      <c r="P338" s="60" t="s">
        <v>1258</v>
      </c>
      <c r="Q338" s="60"/>
      <c r="R338" s="60"/>
      <c r="S338" s="89"/>
      <c r="T338" s="106"/>
      <c r="U338" s="88"/>
      <c r="V338" s="91"/>
      <c r="W338" s="12" t="s">
        <v>515</v>
      </c>
      <c r="X338" s="103"/>
      <c r="Y338" s="6" t="s">
        <v>1257</v>
      </c>
      <c r="Z338" s="64" t="s">
        <v>522</v>
      </c>
      <c r="AA338" s="12">
        <v>16</v>
      </c>
      <c r="AB338" s="6" t="s">
        <v>148</v>
      </c>
      <c r="AC338" s="64">
        <v>3084</v>
      </c>
      <c r="AJ338" s="60"/>
      <c r="AK338" s="67" t="s">
        <v>450</v>
      </c>
      <c r="AN338" s="60"/>
      <c r="AO338" s="60"/>
      <c r="AP338" s="60"/>
      <c r="AQ338" s="60"/>
      <c r="AR338" s="72"/>
      <c r="AS338" s="60"/>
      <c r="AT338" s="7"/>
      <c r="AU338" s="7"/>
      <c r="AV338" s="92"/>
      <c r="AW338" s="93"/>
      <c r="AX338" s="77"/>
      <c r="AY338" s="80"/>
      <c r="AZ338" s="94"/>
      <c r="BA338" s="94"/>
      <c r="BB338" s="80" t="s">
        <v>519</v>
      </c>
      <c r="BC338" s="95"/>
      <c r="BD338" s="92"/>
      <c r="BE338" s="92"/>
      <c r="BF338" s="92"/>
      <c r="BG338" s="92"/>
      <c r="BH338" s="92"/>
      <c r="BI338" s="92"/>
      <c r="BJ338" s="92"/>
      <c r="BK338" s="92"/>
      <c r="BL338" s="92"/>
      <c r="BM338" s="92"/>
      <c r="BN338" s="92"/>
      <c r="BO338" s="92"/>
      <c r="BP338" s="92"/>
      <c r="BQ338" s="92"/>
      <c r="BS338" s="6"/>
      <c r="BT338" s="11"/>
      <c r="BU338" s="6"/>
      <c r="BV338" s="6"/>
    </row>
    <row r="339" spans="1:74" ht="15.75" x14ac:dyDescent="0.25">
      <c r="A339" s="50" t="s">
        <v>449</v>
      </c>
      <c r="B339" s="52"/>
      <c r="C339" s="7" t="s">
        <v>118</v>
      </c>
      <c r="D339" s="7" t="s">
        <v>1209</v>
      </c>
      <c r="E339" s="7"/>
      <c r="F339" s="55"/>
      <c r="G339" s="6"/>
      <c r="H339" s="6"/>
      <c r="I339" s="10" t="s">
        <v>110</v>
      </c>
      <c r="J339" s="11" t="s">
        <v>1021</v>
      </c>
      <c r="K339" s="102" t="s">
        <v>377</v>
      </c>
      <c r="L339" s="98"/>
      <c r="M339" s="98">
        <v>1000</v>
      </c>
      <c r="N339" s="60" t="s">
        <v>1210</v>
      </c>
      <c r="O339" s="88"/>
      <c r="P339" s="60" t="s">
        <v>1259</v>
      </c>
      <c r="Q339" s="60"/>
      <c r="R339" s="60"/>
      <c r="S339" s="89"/>
      <c r="T339" s="106"/>
      <c r="U339" s="88"/>
      <c r="V339" s="91"/>
      <c r="W339" s="12" t="s">
        <v>515</v>
      </c>
      <c r="X339" s="103"/>
      <c r="Y339" s="6" t="s">
        <v>1260</v>
      </c>
      <c r="Z339" s="64" t="s">
        <v>517</v>
      </c>
      <c r="AA339" s="12">
        <v>17</v>
      </c>
      <c r="AB339" s="6" t="s">
        <v>148</v>
      </c>
      <c r="AC339" s="64">
        <v>3060</v>
      </c>
      <c r="AJ339" s="60"/>
      <c r="AK339" s="67" t="s">
        <v>518</v>
      </c>
      <c r="AN339" s="60"/>
      <c r="AO339" s="60"/>
      <c r="AP339" s="60"/>
      <c r="AQ339" s="60"/>
      <c r="AR339" s="72"/>
      <c r="AS339" s="60"/>
      <c r="AT339" s="7"/>
      <c r="AU339" s="7"/>
      <c r="AV339" s="92"/>
      <c r="AW339" s="93"/>
      <c r="AX339" s="77"/>
      <c r="AY339" s="80"/>
      <c r="AZ339" s="94"/>
      <c r="BA339" s="94"/>
      <c r="BB339" s="80" t="s">
        <v>519</v>
      </c>
      <c r="BC339" s="95"/>
      <c r="BD339" s="92"/>
      <c r="BE339" s="92"/>
      <c r="BF339" s="92"/>
      <c r="BG339" s="92"/>
      <c r="BH339" s="92"/>
      <c r="BI339" s="92"/>
      <c r="BJ339" s="92"/>
      <c r="BK339" s="92"/>
      <c r="BL339" s="92"/>
      <c r="BM339" s="92"/>
      <c r="BN339" s="92"/>
      <c r="BO339" s="92"/>
      <c r="BP339" s="92"/>
      <c r="BQ339" s="92"/>
      <c r="BS339" s="6"/>
      <c r="BT339" s="11"/>
      <c r="BU339" s="6"/>
      <c r="BV339" s="6"/>
    </row>
    <row r="340" spans="1:74" ht="15.75" x14ac:dyDescent="0.25">
      <c r="A340" s="50" t="s">
        <v>449</v>
      </c>
      <c r="B340" s="52"/>
      <c r="C340" s="7" t="s">
        <v>118</v>
      </c>
      <c r="D340" s="7" t="s">
        <v>1209</v>
      </c>
      <c r="E340" s="7"/>
      <c r="F340" s="55"/>
      <c r="G340" s="6"/>
      <c r="H340" s="6"/>
      <c r="I340" s="10" t="s">
        <v>110</v>
      </c>
      <c r="J340" s="11" t="s">
        <v>1024</v>
      </c>
      <c r="K340" s="102" t="s">
        <v>377</v>
      </c>
      <c r="L340" s="98"/>
      <c r="M340" s="98">
        <v>1000</v>
      </c>
      <c r="N340" s="60" t="s">
        <v>1210</v>
      </c>
      <c r="O340" s="88"/>
      <c r="P340" s="60" t="s">
        <v>1261</v>
      </c>
      <c r="Q340" s="60"/>
      <c r="R340" s="60"/>
      <c r="S340" s="89"/>
      <c r="T340" s="106"/>
      <c r="U340" s="88"/>
      <c r="V340" s="91"/>
      <c r="W340" s="12" t="s">
        <v>515</v>
      </c>
      <c r="X340" s="103"/>
      <c r="Y340" s="6" t="s">
        <v>1260</v>
      </c>
      <c r="Z340" s="64" t="s">
        <v>522</v>
      </c>
      <c r="AA340" s="12">
        <v>17</v>
      </c>
      <c r="AB340" s="6" t="s">
        <v>148</v>
      </c>
      <c r="AC340" s="64">
        <v>3084</v>
      </c>
      <c r="AJ340" s="60"/>
      <c r="AK340" s="67" t="s">
        <v>450</v>
      </c>
      <c r="AN340" s="60"/>
      <c r="AO340" s="60"/>
      <c r="AP340" s="60"/>
      <c r="AQ340" s="60"/>
      <c r="AR340" s="72"/>
      <c r="AS340" s="60"/>
      <c r="AT340" s="7"/>
      <c r="AU340" s="7"/>
      <c r="AV340" s="92"/>
      <c r="AW340" s="93"/>
      <c r="AX340" s="77"/>
      <c r="AY340" s="80"/>
      <c r="AZ340" s="94"/>
      <c r="BA340" s="94"/>
      <c r="BB340" s="80" t="s">
        <v>519</v>
      </c>
      <c r="BC340" s="95"/>
      <c r="BD340" s="92"/>
      <c r="BE340" s="92"/>
      <c r="BF340" s="92"/>
      <c r="BG340" s="92"/>
      <c r="BH340" s="92"/>
      <c r="BI340" s="92"/>
      <c r="BJ340" s="92"/>
      <c r="BK340" s="92"/>
      <c r="BL340" s="92"/>
      <c r="BM340" s="92"/>
      <c r="BN340" s="92"/>
      <c r="BO340" s="92"/>
      <c r="BP340" s="92"/>
      <c r="BQ340" s="92"/>
      <c r="BS340" s="6"/>
      <c r="BT340" s="11"/>
      <c r="BU340" s="6"/>
      <c r="BV340" s="6"/>
    </row>
    <row r="341" spans="1:74" ht="15.75" x14ac:dyDescent="0.25">
      <c r="A341" s="50" t="s">
        <v>449</v>
      </c>
      <c r="B341" s="52"/>
      <c r="C341" s="7" t="s">
        <v>118</v>
      </c>
      <c r="D341" s="7" t="s">
        <v>1209</v>
      </c>
      <c r="E341" s="7"/>
      <c r="F341" s="55"/>
      <c r="G341" s="6"/>
      <c r="H341" s="6"/>
      <c r="I341" s="10" t="s">
        <v>110</v>
      </c>
      <c r="J341" s="11" t="s">
        <v>1026</v>
      </c>
      <c r="K341" s="102" t="s">
        <v>377</v>
      </c>
      <c r="L341" s="98"/>
      <c r="M341" s="98">
        <v>1000</v>
      </c>
      <c r="N341" s="60" t="s">
        <v>1210</v>
      </c>
      <c r="O341" s="88"/>
      <c r="P341" s="60" t="s">
        <v>1262</v>
      </c>
      <c r="Q341" s="60"/>
      <c r="R341" s="60"/>
      <c r="S341" s="89"/>
      <c r="T341" s="106"/>
      <c r="U341" s="88"/>
      <c r="V341" s="91"/>
      <c r="W341" s="12" t="s">
        <v>515</v>
      </c>
      <c r="X341" s="103"/>
      <c r="Y341" s="6" t="s">
        <v>1263</v>
      </c>
      <c r="Z341" s="64" t="s">
        <v>517</v>
      </c>
      <c r="AA341" s="12">
        <v>18</v>
      </c>
      <c r="AB341" s="6" t="s">
        <v>148</v>
      </c>
      <c r="AC341" s="64">
        <v>3060</v>
      </c>
      <c r="AJ341" s="60"/>
      <c r="AK341" s="67" t="s">
        <v>518</v>
      </c>
      <c r="AN341" s="60"/>
      <c r="AO341" s="60"/>
      <c r="AP341" s="60"/>
      <c r="AQ341" s="60"/>
      <c r="AR341" s="72"/>
      <c r="AS341" s="60"/>
      <c r="AT341" s="7"/>
      <c r="AU341" s="7"/>
      <c r="AV341" s="92"/>
      <c r="AW341" s="93"/>
      <c r="AX341" s="77"/>
      <c r="AY341" s="80"/>
      <c r="AZ341" s="94"/>
      <c r="BA341" s="94"/>
      <c r="BB341" s="80" t="s">
        <v>519</v>
      </c>
      <c r="BC341" s="95"/>
      <c r="BD341" s="92"/>
      <c r="BE341" s="92"/>
      <c r="BF341" s="92"/>
      <c r="BG341" s="92"/>
      <c r="BH341" s="92"/>
      <c r="BI341" s="92"/>
      <c r="BJ341" s="92"/>
      <c r="BK341" s="92"/>
      <c r="BL341" s="92"/>
      <c r="BM341" s="92"/>
      <c r="BN341" s="92"/>
      <c r="BO341" s="92"/>
      <c r="BP341" s="92"/>
      <c r="BQ341" s="92"/>
      <c r="BS341" s="6"/>
      <c r="BT341" s="11"/>
      <c r="BU341" s="6"/>
      <c r="BV341" s="6"/>
    </row>
    <row r="342" spans="1:74" ht="15.75" x14ac:dyDescent="0.25">
      <c r="A342" s="50" t="s">
        <v>449</v>
      </c>
      <c r="B342" s="52"/>
      <c r="C342" s="7" t="s">
        <v>118</v>
      </c>
      <c r="D342" s="7" t="s">
        <v>1209</v>
      </c>
      <c r="E342" s="7"/>
      <c r="F342" s="55"/>
      <c r="G342" s="6"/>
      <c r="H342" s="6"/>
      <c r="I342" s="10" t="s">
        <v>110</v>
      </c>
      <c r="J342" s="11" t="s">
        <v>1029</v>
      </c>
      <c r="K342" s="102" t="s">
        <v>377</v>
      </c>
      <c r="L342" s="98"/>
      <c r="M342" s="98">
        <v>1000</v>
      </c>
      <c r="N342" s="60" t="s">
        <v>1210</v>
      </c>
      <c r="O342" s="88"/>
      <c r="P342" s="60" t="s">
        <v>1264</v>
      </c>
      <c r="Q342" s="60"/>
      <c r="R342" s="60"/>
      <c r="S342" s="89"/>
      <c r="T342" s="106"/>
      <c r="U342" s="88"/>
      <c r="V342" s="91"/>
      <c r="W342" s="12" t="s">
        <v>515</v>
      </c>
      <c r="X342" s="103"/>
      <c r="Y342" s="6" t="s">
        <v>1263</v>
      </c>
      <c r="Z342" s="64" t="s">
        <v>522</v>
      </c>
      <c r="AA342" s="12">
        <v>18</v>
      </c>
      <c r="AB342" s="6" t="s">
        <v>148</v>
      </c>
      <c r="AC342" s="64">
        <v>3084</v>
      </c>
      <c r="AJ342" s="60"/>
      <c r="AK342" s="67" t="s">
        <v>450</v>
      </c>
      <c r="AN342" s="60"/>
      <c r="AO342" s="60"/>
      <c r="AP342" s="60"/>
      <c r="AQ342" s="60"/>
      <c r="AR342" s="72"/>
      <c r="AS342" s="60"/>
      <c r="AT342" s="7"/>
      <c r="AU342" s="7"/>
      <c r="AV342" s="92"/>
      <c r="AW342" s="93"/>
      <c r="AX342" s="77"/>
      <c r="AY342" s="80"/>
      <c r="AZ342" s="94"/>
      <c r="BA342" s="94"/>
      <c r="BB342" s="80" t="s">
        <v>519</v>
      </c>
      <c r="BC342" s="95"/>
      <c r="BD342" s="92"/>
      <c r="BE342" s="92"/>
      <c r="BF342" s="92"/>
      <c r="BG342" s="92"/>
      <c r="BH342" s="92"/>
      <c r="BI342" s="92"/>
      <c r="BJ342" s="92"/>
      <c r="BK342" s="92"/>
      <c r="BL342" s="92"/>
      <c r="BM342" s="92"/>
      <c r="BN342" s="92"/>
      <c r="BO342" s="92"/>
      <c r="BP342" s="92"/>
      <c r="BQ342" s="92"/>
      <c r="BS342" s="6"/>
      <c r="BT342" s="11"/>
      <c r="BU342" s="6"/>
      <c r="BV342" s="6"/>
    </row>
    <row r="343" spans="1:74" ht="15.75" x14ac:dyDescent="0.25">
      <c r="A343" s="50" t="s">
        <v>449</v>
      </c>
      <c r="B343" s="52"/>
      <c r="C343" s="7" t="s">
        <v>118</v>
      </c>
      <c r="D343" s="7" t="s">
        <v>1209</v>
      </c>
      <c r="E343" s="7"/>
      <c r="F343" s="55"/>
      <c r="G343" s="6"/>
      <c r="H343" s="6"/>
      <c r="I343" s="10" t="s">
        <v>110</v>
      </c>
      <c r="J343" s="11" t="s">
        <v>1031</v>
      </c>
      <c r="K343" s="102" t="s">
        <v>377</v>
      </c>
      <c r="L343" s="98"/>
      <c r="M343" s="98">
        <v>1000</v>
      </c>
      <c r="N343" s="60" t="s">
        <v>1210</v>
      </c>
      <c r="O343" s="88"/>
      <c r="P343" s="60" t="s">
        <v>1265</v>
      </c>
      <c r="Q343" s="60"/>
      <c r="R343" s="60"/>
      <c r="S343" s="89"/>
      <c r="T343" s="106"/>
      <c r="U343" s="88"/>
      <c r="V343" s="91"/>
      <c r="W343" s="12" t="s">
        <v>515</v>
      </c>
      <c r="X343" s="103"/>
      <c r="Y343" s="6" t="s">
        <v>1266</v>
      </c>
      <c r="Z343" s="64" t="s">
        <v>517</v>
      </c>
      <c r="AA343" s="12">
        <v>19</v>
      </c>
      <c r="AB343" s="6" t="s">
        <v>148</v>
      </c>
      <c r="AC343" s="64">
        <v>3060</v>
      </c>
      <c r="AJ343" s="60"/>
      <c r="AK343" s="67" t="s">
        <v>518</v>
      </c>
      <c r="AN343" s="60"/>
      <c r="AO343" s="60"/>
      <c r="AP343" s="60"/>
      <c r="AQ343" s="60"/>
      <c r="AR343" s="72"/>
      <c r="AS343" s="60"/>
      <c r="AT343" s="7"/>
      <c r="AU343" s="7"/>
      <c r="AV343" s="92"/>
      <c r="AW343" s="93"/>
      <c r="AX343" s="77"/>
      <c r="AY343" s="80"/>
      <c r="AZ343" s="94"/>
      <c r="BA343" s="94"/>
      <c r="BB343" s="80" t="s">
        <v>519</v>
      </c>
      <c r="BC343" s="95"/>
      <c r="BD343" s="92"/>
      <c r="BE343" s="92"/>
      <c r="BF343" s="92"/>
      <c r="BG343" s="92"/>
      <c r="BH343" s="92"/>
      <c r="BI343" s="92"/>
      <c r="BJ343" s="92"/>
      <c r="BK343" s="92"/>
      <c r="BL343" s="92"/>
      <c r="BM343" s="92"/>
      <c r="BN343" s="92"/>
      <c r="BO343" s="92"/>
      <c r="BP343" s="92"/>
      <c r="BQ343" s="92"/>
      <c r="BS343" s="6"/>
      <c r="BT343" s="11"/>
      <c r="BU343" s="6"/>
      <c r="BV343" s="6"/>
    </row>
    <row r="344" spans="1:74" ht="15.75" x14ac:dyDescent="0.25">
      <c r="A344" s="50" t="s">
        <v>449</v>
      </c>
      <c r="B344" s="52"/>
      <c r="C344" s="7" t="s">
        <v>118</v>
      </c>
      <c r="D344" s="7" t="s">
        <v>1209</v>
      </c>
      <c r="E344" s="7"/>
      <c r="F344" s="55"/>
      <c r="G344" s="6"/>
      <c r="H344" s="6"/>
      <c r="I344" s="10" t="s">
        <v>110</v>
      </c>
      <c r="J344" s="11" t="s">
        <v>1034</v>
      </c>
      <c r="K344" s="102" t="s">
        <v>377</v>
      </c>
      <c r="L344" s="98"/>
      <c r="M344" s="98">
        <v>1000</v>
      </c>
      <c r="N344" s="60" t="s">
        <v>1210</v>
      </c>
      <c r="O344" s="88"/>
      <c r="P344" s="60" t="s">
        <v>1267</v>
      </c>
      <c r="Q344" s="60"/>
      <c r="R344" s="60"/>
      <c r="S344" s="89"/>
      <c r="T344" s="106"/>
      <c r="U344" s="88"/>
      <c r="V344" s="91"/>
      <c r="W344" s="12" t="s">
        <v>515</v>
      </c>
      <c r="X344" s="103"/>
      <c r="Y344" s="6" t="s">
        <v>1266</v>
      </c>
      <c r="Z344" s="64" t="s">
        <v>522</v>
      </c>
      <c r="AA344" s="12">
        <v>19</v>
      </c>
      <c r="AB344" s="6" t="s">
        <v>148</v>
      </c>
      <c r="AC344" s="64">
        <v>3084</v>
      </c>
      <c r="AJ344" s="60"/>
      <c r="AK344" s="67" t="s">
        <v>450</v>
      </c>
      <c r="AN344" s="60"/>
      <c r="AO344" s="60"/>
      <c r="AP344" s="60"/>
      <c r="AQ344" s="60"/>
      <c r="AR344" s="72"/>
      <c r="AS344" s="60"/>
      <c r="AT344" s="7"/>
      <c r="AU344" s="7"/>
      <c r="AV344" s="92"/>
      <c r="AW344" s="93"/>
      <c r="AX344" s="77"/>
      <c r="AY344" s="80"/>
      <c r="AZ344" s="94"/>
      <c r="BA344" s="94"/>
      <c r="BB344" s="80" t="s">
        <v>519</v>
      </c>
      <c r="BC344" s="95"/>
      <c r="BD344" s="92"/>
      <c r="BE344" s="92"/>
      <c r="BF344" s="92"/>
      <c r="BG344" s="92"/>
      <c r="BH344" s="92"/>
      <c r="BI344" s="92"/>
      <c r="BJ344" s="92"/>
      <c r="BK344" s="92"/>
      <c r="BL344" s="92"/>
      <c r="BM344" s="92"/>
      <c r="BN344" s="92"/>
      <c r="BO344" s="92"/>
      <c r="BP344" s="92"/>
      <c r="BQ344" s="92"/>
      <c r="BS344" s="6"/>
      <c r="BT344" s="11"/>
      <c r="BU344" s="6"/>
      <c r="BV344" s="6"/>
    </row>
    <row r="345" spans="1:74" ht="15.75" x14ac:dyDescent="0.25">
      <c r="A345" s="50" t="s">
        <v>449</v>
      </c>
      <c r="B345" s="52"/>
      <c r="C345" s="7" t="s">
        <v>118</v>
      </c>
      <c r="D345" s="7" t="s">
        <v>1209</v>
      </c>
      <c r="E345" s="7"/>
      <c r="F345" s="55"/>
      <c r="G345" s="6"/>
      <c r="H345" s="6"/>
      <c r="I345" s="10" t="s">
        <v>110</v>
      </c>
      <c r="J345" s="11" t="s">
        <v>1036</v>
      </c>
      <c r="K345" s="102" t="s">
        <v>377</v>
      </c>
      <c r="L345" s="98"/>
      <c r="M345" s="98">
        <v>1000</v>
      </c>
      <c r="N345" s="60" t="s">
        <v>1210</v>
      </c>
      <c r="O345" s="88"/>
      <c r="P345" s="60" t="s">
        <v>1268</v>
      </c>
      <c r="Q345" s="60"/>
      <c r="R345" s="60"/>
      <c r="S345" s="89"/>
      <c r="T345" s="106"/>
      <c r="U345" s="88"/>
      <c r="V345" s="91"/>
      <c r="W345" s="12" t="s">
        <v>515</v>
      </c>
      <c r="X345" s="103"/>
      <c r="Y345" s="6" t="s">
        <v>1269</v>
      </c>
      <c r="Z345" s="64" t="s">
        <v>517</v>
      </c>
      <c r="AA345" s="12">
        <v>20</v>
      </c>
      <c r="AB345" s="6" t="s">
        <v>148</v>
      </c>
      <c r="AC345" s="64">
        <v>3060</v>
      </c>
      <c r="AJ345" s="60"/>
      <c r="AK345" s="67" t="s">
        <v>518</v>
      </c>
      <c r="AN345" s="60"/>
      <c r="AO345" s="60"/>
      <c r="AP345" s="60"/>
      <c r="AQ345" s="60"/>
      <c r="AR345" s="72"/>
      <c r="AS345" s="60"/>
      <c r="AT345" s="7"/>
      <c r="AU345" s="7"/>
      <c r="AV345" s="92"/>
      <c r="AW345" s="93"/>
      <c r="AX345" s="77"/>
      <c r="AY345" s="80"/>
      <c r="AZ345" s="94"/>
      <c r="BA345" s="94"/>
      <c r="BB345" s="80" t="s">
        <v>519</v>
      </c>
      <c r="BC345" s="95"/>
      <c r="BD345" s="92"/>
      <c r="BE345" s="92"/>
      <c r="BF345" s="92"/>
      <c r="BG345" s="92"/>
      <c r="BH345" s="92"/>
      <c r="BI345" s="92"/>
      <c r="BJ345" s="92"/>
      <c r="BK345" s="92"/>
      <c r="BL345" s="92"/>
      <c r="BM345" s="92"/>
      <c r="BN345" s="92"/>
      <c r="BO345" s="92"/>
      <c r="BP345" s="92"/>
      <c r="BQ345" s="92"/>
      <c r="BS345" s="6"/>
      <c r="BT345" s="11"/>
      <c r="BU345" s="6"/>
      <c r="BV345" s="6"/>
    </row>
    <row r="346" spans="1:74" ht="15.75" x14ac:dyDescent="0.25">
      <c r="A346" s="50" t="s">
        <v>449</v>
      </c>
      <c r="B346" s="52"/>
      <c r="C346" s="7" t="s">
        <v>118</v>
      </c>
      <c r="D346" s="7" t="s">
        <v>1209</v>
      </c>
      <c r="E346" s="7"/>
      <c r="F346" s="55"/>
      <c r="G346" s="6"/>
      <c r="H346" s="6"/>
      <c r="I346" s="10" t="s">
        <v>110</v>
      </c>
      <c r="J346" s="11" t="s">
        <v>1039</v>
      </c>
      <c r="K346" s="102" t="s">
        <v>377</v>
      </c>
      <c r="L346" s="98"/>
      <c r="M346" s="98">
        <v>1000</v>
      </c>
      <c r="N346" s="60" t="s">
        <v>1210</v>
      </c>
      <c r="O346" s="88"/>
      <c r="P346" s="60" t="s">
        <v>1270</v>
      </c>
      <c r="Q346" s="60"/>
      <c r="R346" s="60"/>
      <c r="S346" s="89"/>
      <c r="T346" s="106"/>
      <c r="U346" s="88"/>
      <c r="V346" s="91"/>
      <c r="W346" s="12" t="s">
        <v>515</v>
      </c>
      <c r="X346" s="103"/>
      <c r="Y346" s="6" t="s">
        <v>1269</v>
      </c>
      <c r="Z346" s="64" t="s">
        <v>522</v>
      </c>
      <c r="AA346" s="12">
        <v>20</v>
      </c>
      <c r="AB346" s="6" t="s">
        <v>148</v>
      </c>
      <c r="AC346" s="64">
        <v>3084</v>
      </c>
      <c r="AJ346" s="60"/>
      <c r="AK346" s="67" t="s">
        <v>450</v>
      </c>
      <c r="AN346" s="60"/>
      <c r="AO346" s="60"/>
      <c r="AP346" s="60"/>
      <c r="AQ346" s="60"/>
      <c r="AR346" s="72"/>
      <c r="AS346" s="60"/>
      <c r="AT346" s="7"/>
      <c r="AU346" s="7"/>
      <c r="AV346" s="92"/>
      <c r="AW346" s="93"/>
      <c r="AX346" s="77"/>
      <c r="AY346" s="80"/>
      <c r="AZ346" s="94"/>
      <c r="BA346" s="94"/>
      <c r="BB346" s="80" t="s">
        <v>519</v>
      </c>
      <c r="BC346" s="95"/>
      <c r="BD346" s="92"/>
      <c r="BE346" s="92"/>
      <c r="BF346" s="92"/>
      <c r="BG346" s="92"/>
      <c r="BH346" s="92"/>
      <c r="BI346" s="92"/>
      <c r="BJ346" s="92"/>
      <c r="BK346" s="92"/>
      <c r="BL346" s="92"/>
      <c r="BM346" s="92"/>
      <c r="BN346" s="92"/>
      <c r="BO346" s="92"/>
      <c r="BP346" s="92"/>
      <c r="BQ346" s="92"/>
      <c r="BS346" s="6"/>
      <c r="BT346" s="11"/>
      <c r="BU346" s="6"/>
      <c r="BV346" s="6"/>
    </row>
    <row r="347" spans="1:74" ht="15.75" x14ac:dyDescent="0.25">
      <c r="A347" s="50" t="s">
        <v>449</v>
      </c>
      <c r="B347" s="52"/>
      <c r="C347" s="7" t="s">
        <v>118</v>
      </c>
      <c r="D347" s="7" t="s">
        <v>1209</v>
      </c>
      <c r="E347" s="7"/>
      <c r="F347" s="55"/>
      <c r="G347" s="6"/>
      <c r="H347" s="6"/>
      <c r="I347" s="10" t="s">
        <v>110</v>
      </c>
      <c r="J347" s="11" t="s">
        <v>1041</v>
      </c>
      <c r="K347" s="102" t="s">
        <v>377</v>
      </c>
      <c r="L347" s="98"/>
      <c r="M347" s="98">
        <v>1000</v>
      </c>
      <c r="N347" s="60" t="s">
        <v>1210</v>
      </c>
      <c r="O347" s="88"/>
      <c r="P347" s="60" t="s">
        <v>1271</v>
      </c>
      <c r="Q347" s="60"/>
      <c r="R347" s="60"/>
      <c r="S347" s="89"/>
      <c r="T347" s="106"/>
      <c r="U347" s="88"/>
      <c r="V347" s="91"/>
      <c r="W347" s="12" t="s">
        <v>515</v>
      </c>
      <c r="X347" s="103"/>
      <c r="Y347" s="6" t="s">
        <v>1272</v>
      </c>
      <c r="Z347" s="64" t="s">
        <v>517</v>
      </c>
      <c r="AA347" s="12">
        <v>21</v>
      </c>
      <c r="AB347" s="6" t="s">
        <v>148</v>
      </c>
      <c r="AC347" s="64">
        <v>3060</v>
      </c>
      <c r="AJ347" s="60"/>
      <c r="AK347" s="67" t="s">
        <v>518</v>
      </c>
      <c r="AN347" s="60"/>
      <c r="AO347" s="60"/>
      <c r="AP347" s="60"/>
      <c r="AQ347" s="60"/>
      <c r="AR347" s="72"/>
      <c r="AS347" s="60"/>
      <c r="AT347" s="7"/>
      <c r="AU347" s="7"/>
      <c r="AV347" s="92"/>
      <c r="AW347" s="93"/>
      <c r="AX347" s="77"/>
      <c r="AY347" s="80"/>
      <c r="AZ347" s="94"/>
      <c r="BA347" s="94"/>
      <c r="BB347" s="80" t="s">
        <v>519</v>
      </c>
      <c r="BC347" s="95"/>
      <c r="BD347" s="92"/>
      <c r="BE347" s="92"/>
      <c r="BF347" s="92"/>
      <c r="BG347" s="92"/>
      <c r="BH347" s="92"/>
      <c r="BI347" s="92"/>
      <c r="BJ347" s="92"/>
      <c r="BK347" s="92"/>
      <c r="BL347" s="92"/>
      <c r="BM347" s="92"/>
      <c r="BN347" s="92"/>
      <c r="BO347" s="92"/>
      <c r="BP347" s="92"/>
      <c r="BQ347" s="92"/>
      <c r="BS347" s="6"/>
      <c r="BT347" s="11"/>
      <c r="BU347" s="6"/>
      <c r="BV347" s="6"/>
    </row>
    <row r="348" spans="1:74" ht="15.75" x14ac:dyDescent="0.25">
      <c r="A348" s="50" t="s">
        <v>449</v>
      </c>
      <c r="B348" s="52"/>
      <c r="C348" s="7" t="s">
        <v>118</v>
      </c>
      <c r="D348" s="7" t="s">
        <v>1209</v>
      </c>
      <c r="E348" s="7"/>
      <c r="F348" s="55"/>
      <c r="G348" s="6"/>
      <c r="H348" s="6"/>
      <c r="I348" s="10" t="s">
        <v>110</v>
      </c>
      <c r="J348" s="11" t="s">
        <v>1044</v>
      </c>
      <c r="K348" s="102" t="s">
        <v>377</v>
      </c>
      <c r="L348" s="98"/>
      <c r="M348" s="98">
        <v>1000</v>
      </c>
      <c r="N348" s="60" t="s">
        <v>1210</v>
      </c>
      <c r="O348" s="88"/>
      <c r="P348" s="60" t="s">
        <v>1273</v>
      </c>
      <c r="Q348" s="60"/>
      <c r="R348" s="60"/>
      <c r="S348" s="89"/>
      <c r="T348" s="106"/>
      <c r="U348" s="88"/>
      <c r="V348" s="91"/>
      <c r="W348" s="12" t="s">
        <v>515</v>
      </c>
      <c r="X348" s="103"/>
      <c r="Y348" s="6" t="s">
        <v>1272</v>
      </c>
      <c r="Z348" s="64" t="s">
        <v>522</v>
      </c>
      <c r="AA348" s="12">
        <v>21</v>
      </c>
      <c r="AB348" s="6" t="s">
        <v>148</v>
      </c>
      <c r="AC348" s="64">
        <v>3084</v>
      </c>
      <c r="AJ348" s="60"/>
      <c r="AK348" s="67" t="s">
        <v>450</v>
      </c>
      <c r="AN348" s="60"/>
      <c r="AO348" s="60"/>
      <c r="AP348" s="60"/>
      <c r="AQ348" s="60"/>
      <c r="AR348" s="72"/>
      <c r="AS348" s="60"/>
      <c r="AT348" s="7"/>
      <c r="AU348" s="7"/>
      <c r="AV348" s="92"/>
      <c r="AW348" s="93"/>
      <c r="AX348" s="77"/>
      <c r="AY348" s="80"/>
      <c r="AZ348" s="94"/>
      <c r="BA348" s="94"/>
      <c r="BB348" s="80" t="s">
        <v>519</v>
      </c>
      <c r="BC348" s="95"/>
      <c r="BD348" s="92"/>
      <c r="BE348" s="92"/>
      <c r="BF348" s="92"/>
      <c r="BG348" s="92"/>
      <c r="BH348" s="92"/>
      <c r="BI348" s="92"/>
      <c r="BJ348" s="92"/>
      <c r="BK348" s="92"/>
      <c r="BL348" s="92"/>
      <c r="BM348" s="92"/>
      <c r="BN348" s="92"/>
      <c r="BO348" s="92"/>
      <c r="BP348" s="92"/>
      <c r="BQ348" s="92"/>
      <c r="BS348" s="6"/>
      <c r="BT348" s="11"/>
      <c r="BU348" s="6"/>
      <c r="BV348" s="6"/>
    </row>
    <row r="349" spans="1:74" ht="15.75" x14ac:dyDescent="0.25">
      <c r="A349" s="50" t="s">
        <v>449</v>
      </c>
      <c r="B349" s="52"/>
      <c r="C349" s="7" t="s">
        <v>118</v>
      </c>
      <c r="D349" s="7" t="s">
        <v>1209</v>
      </c>
      <c r="E349" s="7"/>
      <c r="F349" s="55"/>
      <c r="G349" s="6"/>
      <c r="H349" s="6"/>
      <c r="I349" s="10" t="s">
        <v>110</v>
      </c>
      <c r="J349" s="11" t="s">
        <v>1046</v>
      </c>
      <c r="K349" s="102" t="s">
        <v>377</v>
      </c>
      <c r="L349" s="98"/>
      <c r="M349" s="98">
        <v>1000</v>
      </c>
      <c r="N349" s="60" t="s">
        <v>1210</v>
      </c>
      <c r="O349" s="88"/>
      <c r="P349" s="60" t="s">
        <v>1274</v>
      </c>
      <c r="Q349" s="60"/>
      <c r="R349" s="60"/>
      <c r="S349" s="89"/>
      <c r="T349" s="106"/>
      <c r="U349" s="88"/>
      <c r="V349" s="91"/>
      <c r="W349" s="12" t="s">
        <v>515</v>
      </c>
      <c r="X349" s="103"/>
      <c r="Y349" s="6" t="s">
        <v>1275</v>
      </c>
      <c r="Z349" s="64" t="s">
        <v>517</v>
      </c>
      <c r="AA349" s="12">
        <v>22</v>
      </c>
      <c r="AB349" s="6" t="s">
        <v>148</v>
      </c>
      <c r="AC349" s="64">
        <v>3060</v>
      </c>
      <c r="AJ349" s="60"/>
      <c r="AK349" s="67" t="s">
        <v>518</v>
      </c>
      <c r="AN349" s="60"/>
      <c r="AO349" s="60"/>
      <c r="AP349" s="60"/>
      <c r="AQ349" s="60"/>
      <c r="AR349" s="72"/>
      <c r="AS349" s="60"/>
      <c r="AT349" s="7"/>
      <c r="AU349" s="7"/>
      <c r="AV349" s="92"/>
      <c r="AW349" s="93"/>
      <c r="AX349" s="77"/>
      <c r="AY349" s="80"/>
      <c r="AZ349" s="94"/>
      <c r="BA349" s="94"/>
      <c r="BB349" s="80" t="s">
        <v>519</v>
      </c>
      <c r="BC349" s="95"/>
      <c r="BD349" s="92"/>
      <c r="BE349" s="92"/>
      <c r="BF349" s="92"/>
      <c r="BG349" s="92"/>
      <c r="BH349" s="92"/>
      <c r="BI349" s="92"/>
      <c r="BJ349" s="92"/>
      <c r="BK349" s="92"/>
      <c r="BL349" s="92"/>
      <c r="BM349" s="92"/>
      <c r="BN349" s="92"/>
      <c r="BO349" s="92"/>
      <c r="BP349" s="92"/>
      <c r="BQ349" s="92"/>
      <c r="BS349" s="6"/>
      <c r="BT349" s="11"/>
      <c r="BU349" s="6"/>
      <c r="BV349" s="6"/>
    </row>
    <row r="350" spans="1:74" ht="15.75" x14ac:dyDescent="0.25">
      <c r="A350" s="50" t="s">
        <v>449</v>
      </c>
      <c r="B350" s="52"/>
      <c r="C350" s="7" t="s">
        <v>118</v>
      </c>
      <c r="D350" s="7" t="s">
        <v>1209</v>
      </c>
      <c r="E350" s="7"/>
      <c r="F350" s="55"/>
      <c r="G350" s="6"/>
      <c r="H350" s="6"/>
      <c r="I350" s="10" t="s">
        <v>110</v>
      </c>
      <c r="J350" s="11" t="s">
        <v>1049</v>
      </c>
      <c r="K350" s="102" t="s">
        <v>377</v>
      </c>
      <c r="L350" s="98"/>
      <c r="M350" s="98">
        <v>1000</v>
      </c>
      <c r="N350" s="60" t="s">
        <v>1210</v>
      </c>
      <c r="O350" s="88"/>
      <c r="P350" s="60" t="s">
        <v>1276</v>
      </c>
      <c r="Q350" s="60"/>
      <c r="R350" s="60"/>
      <c r="S350" s="89"/>
      <c r="T350" s="106"/>
      <c r="U350" s="88"/>
      <c r="V350" s="91"/>
      <c r="W350" s="12" t="s">
        <v>515</v>
      </c>
      <c r="X350" s="103"/>
      <c r="Y350" s="6" t="s">
        <v>1275</v>
      </c>
      <c r="Z350" s="64" t="s">
        <v>522</v>
      </c>
      <c r="AA350" s="12">
        <v>22</v>
      </c>
      <c r="AB350" s="6" t="s">
        <v>148</v>
      </c>
      <c r="AC350" s="64">
        <v>3084</v>
      </c>
      <c r="AJ350" s="60"/>
      <c r="AK350" s="67" t="s">
        <v>450</v>
      </c>
      <c r="AN350" s="60"/>
      <c r="AO350" s="60"/>
      <c r="AP350" s="60"/>
      <c r="AQ350" s="60"/>
      <c r="AR350" s="72"/>
      <c r="AS350" s="60"/>
      <c r="AT350" s="7"/>
      <c r="AU350" s="7"/>
      <c r="AV350" s="92"/>
      <c r="AW350" s="93"/>
      <c r="AX350" s="77"/>
      <c r="AY350" s="80"/>
      <c r="AZ350" s="94"/>
      <c r="BA350" s="94"/>
      <c r="BB350" s="80" t="s">
        <v>519</v>
      </c>
      <c r="BC350" s="95"/>
      <c r="BD350" s="92"/>
      <c r="BE350" s="92"/>
      <c r="BF350" s="92"/>
      <c r="BG350" s="92"/>
      <c r="BH350" s="92"/>
      <c r="BI350" s="92"/>
      <c r="BJ350" s="92"/>
      <c r="BK350" s="92"/>
      <c r="BL350" s="92"/>
      <c r="BM350" s="92"/>
      <c r="BN350" s="92"/>
      <c r="BO350" s="92"/>
      <c r="BP350" s="92"/>
      <c r="BQ350" s="92"/>
      <c r="BS350" s="6"/>
      <c r="BT350" s="11"/>
      <c r="BU350" s="6"/>
      <c r="BV350" s="6"/>
    </row>
    <row r="351" spans="1:74" ht="15.75" x14ac:dyDescent="0.25">
      <c r="A351" s="50" t="s">
        <v>449</v>
      </c>
      <c r="B351" s="52"/>
      <c r="C351" s="7" t="s">
        <v>118</v>
      </c>
      <c r="D351" s="7" t="s">
        <v>1209</v>
      </c>
      <c r="E351" s="7"/>
      <c r="F351" s="55"/>
      <c r="G351" s="6"/>
      <c r="H351" s="6"/>
      <c r="I351" s="10" t="s">
        <v>110</v>
      </c>
      <c r="J351" s="11" t="s">
        <v>1051</v>
      </c>
      <c r="K351" s="102" t="s">
        <v>377</v>
      </c>
      <c r="L351" s="98"/>
      <c r="M351" s="98">
        <v>1000</v>
      </c>
      <c r="N351" s="60" t="s">
        <v>1210</v>
      </c>
      <c r="O351" s="88"/>
      <c r="P351" s="60" t="s">
        <v>1277</v>
      </c>
      <c r="Q351" s="60"/>
      <c r="R351" s="60"/>
      <c r="S351" s="89"/>
      <c r="T351" s="106"/>
      <c r="U351" s="88"/>
      <c r="V351" s="91"/>
      <c r="W351" s="12" t="s">
        <v>515</v>
      </c>
      <c r="X351" s="103"/>
      <c r="Y351" s="6" t="s">
        <v>1278</v>
      </c>
      <c r="Z351" s="64" t="s">
        <v>517</v>
      </c>
      <c r="AA351" s="12">
        <v>23</v>
      </c>
      <c r="AB351" s="6" t="s">
        <v>148</v>
      </c>
      <c r="AC351" s="64">
        <v>3060</v>
      </c>
      <c r="AJ351" s="60"/>
      <c r="AK351" s="67" t="s">
        <v>518</v>
      </c>
      <c r="AN351" s="60"/>
      <c r="AO351" s="60"/>
      <c r="AP351" s="60"/>
      <c r="AQ351" s="60"/>
      <c r="AR351" s="72"/>
      <c r="AS351" s="60"/>
      <c r="AT351" s="7"/>
      <c r="AU351" s="7"/>
      <c r="AV351" s="92"/>
      <c r="AW351" s="93"/>
      <c r="AX351" s="77"/>
      <c r="AY351" s="80"/>
      <c r="AZ351" s="94"/>
      <c r="BA351" s="94"/>
      <c r="BB351" s="80" t="s">
        <v>519</v>
      </c>
      <c r="BC351" s="95"/>
      <c r="BD351" s="92"/>
      <c r="BE351" s="92"/>
      <c r="BF351" s="92"/>
      <c r="BG351" s="92"/>
      <c r="BH351" s="92"/>
      <c r="BI351" s="92"/>
      <c r="BJ351" s="92"/>
      <c r="BK351" s="92"/>
      <c r="BL351" s="92"/>
      <c r="BM351" s="92"/>
      <c r="BN351" s="92"/>
      <c r="BO351" s="92"/>
      <c r="BP351" s="92"/>
      <c r="BQ351" s="92"/>
      <c r="BS351" s="6"/>
      <c r="BT351" s="11"/>
      <c r="BU351" s="6"/>
      <c r="BV351" s="6"/>
    </row>
    <row r="352" spans="1:74" ht="15.75" x14ac:dyDescent="0.25">
      <c r="A352" s="50" t="s">
        <v>449</v>
      </c>
      <c r="B352" s="52"/>
      <c r="C352" s="7" t="s">
        <v>118</v>
      </c>
      <c r="D352" s="7" t="s">
        <v>1209</v>
      </c>
      <c r="E352" s="7"/>
      <c r="F352" s="55"/>
      <c r="G352" s="6"/>
      <c r="H352" s="6"/>
      <c r="I352" s="10" t="s">
        <v>110</v>
      </c>
      <c r="J352" s="11" t="s">
        <v>1054</v>
      </c>
      <c r="K352" s="102" t="s">
        <v>377</v>
      </c>
      <c r="L352" s="98"/>
      <c r="M352" s="98">
        <v>1000</v>
      </c>
      <c r="N352" s="60" t="s">
        <v>1210</v>
      </c>
      <c r="O352" s="88"/>
      <c r="P352" s="60" t="s">
        <v>1279</v>
      </c>
      <c r="Q352" s="60"/>
      <c r="R352" s="60"/>
      <c r="S352" s="89"/>
      <c r="T352" s="106"/>
      <c r="U352" s="88"/>
      <c r="V352" s="91"/>
      <c r="W352" s="12" t="s">
        <v>515</v>
      </c>
      <c r="X352" s="103"/>
      <c r="Y352" s="6" t="s">
        <v>1278</v>
      </c>
      <c r="Z352" s="64" t="s">
        <v>522</v>
      </c>
      <c r="AA352" s="12">
        <v>23</v>
      </c>
      <c r="AB352" s="6" t="s">
        <v>148</v>
      </c>
      <c r="AC352" s="64">
        <v>3084</v>
      </c>
      <c r="AJ352" s="60"/>
      <c r="AK352" s="67" t="s">
        <v>450</v>
      </c>
      <c r="AN352" s="60"/>
      <c r="AO352" s="60"/>
      <c r="AP352" s="60"/>
      <c r="AQ352" s="60"/>
      <c r="AR352" s="72"/>
      <c r="AS352" s="60"/>
      <c r="AT352" s="7"/>
      <c r="AU352" s="7"/>
      <c r="AV352" s="92"/>
      <c r="AW352" s="93"/>
      <c r="AX352" s="77"/>
      <c r="AY352" s="80"/>
      <c r="AZ352" s="94"/>
      <c r="BA352" s="94"/>
      <c r="BB352" s="80" t="s">
        <v>519</v>
      </c>
      <c r="BC352" s="95"/>
      <c r="BD352" s="92"/>
      <c r="BE352" s="92"/>
      <c r="BF352" s="92"/>
      <c r="BG352" s="92"/>
      <c r="BH352" s="92"/>
      <c r="BI352" s="92"/>
      <c r="BJ352" s="92"/>
      <c r="BK352" s="92"/>
      <c r="BL352" s="92"/>
      <c r="BM352" s="92"/>
      <c r="BN352" s="92"/>
      <c r="BO352" s="92"/>
      <c r="BP352" s="92"/>
      <c r="BQ352" s="92"/>
      <c r="BS352" s="6"/>
      <c r="BT352" s="11"/>
      <c r="BU352" s="6"/>
      <c r="BV352" s="6"/>
    </row>
    <row r="353" spans="1:74" ht="15.75" x14ac:dyDescent="0.25">
      <c r="A353" s="50" t="s">
        <v>449</v>
      </c>
      <c r="B353" s="52"/>
      <c r="C353" s="7" t="s">
        <v>118</v>
      </c>
      <c r="D353" s="7" t="s">
        <v>1209</v>
      </c>
      <c r="E353" s="7"/>
      <c r="F353" s="55"/>
      <c r="G353" s="6"/>
      <c r="H353" s="6"/>
      <c r="I353" s="10" t="s">
        <v>110</v>
      </c>
      <c r="J353" s="11" t="s">
        <v>1056</v>
      </c>
      <c r="K353" s="102" t="s">
        <v>377</v>
      </c>
      <c r="L353" s="98"/>
      <c r="M353" s="98">
        <v>1000</v>
      </c>
      <c r="N353" s="60" t="s">
        <v>1210</v>
      </c>
      <c r="O353" s="88"/>
      <c r="P353" s="60" t="s">
        <v>1280</v>
      </c>
      <c r="Q353" s="60"/>
      <c r="R353" s="60"/>
      <c r="S353" s="89"/>
      <c r="T353" s="106"/>
      <c r="U353" s="88"/>
      <c r="V353" s="91"/>
      <c r="W353" s="12" t="s">
        <v>515</v>
      </c>
      <c r="X353" s="103"/>
      <c r="Y353" s="6" t="s">
        <v>1281</v>
      </c>
      <c r="Z353" s="64" t="s">
        <v>517</v>
      </c>
      <c r="AA353" s="12">
        <v>24</v>
      </c>
      <c r="AB353" s="6" t="s">
        <v>148</v>
      </c>
      <c r="AC353" s="64">
        <v>3060</v>
      </c>
      <c r="AJ353" s="60"/>
      <c r="AK353" s="67" t="s">
        <v>518</v>
      </c>
      <c r="AN353" s="60"/>
      <c r="AO353" s="60"/>
      <c r="AP353" s="60"/>
      <c r="AQ353" s="60"/>
      <c r="AR353" s="72"/>
      <c r="AS353" s="60"/>
      <c r="AT353" s="7"/>
      <c r="AU353" s="7"/>
      <c r="AV353" s="92"/>
      <c r="AW353" s="93"/>
      <c r="AX353" s="77"/>
      <c r="AY353" s="80"/>
      <c r="AZ353" s="94"/>
      <c r="BA353" s="94"/>
      <c r="BB353" s="80" t="s">
        <v>519</v>
      </c>
      <c r="BC353" s="95"/>
      <c r="BD353" s="92"/>
      <c r="BE353" s="92"/>
      <c r="BF353" s="92"/>
      <c r="BG353" s="92"/>
      <c r="BH353" s="92"/>
      <c r="BI353" s="92"/>
      <c r="BJ353" s="92"/>
      <c r="BK353" s="92"/>
      <c r="BL353" s="92"/>
      <c r="BM353" s="92"/>
      <c r="BN353" s="92"/>
      <c r="BO353" s="92"/>
      <c r="BP353" s="92"/>
      <c r="BQ353" s="92"/>
      <c r="BS353" s="6"/>
      <c r="BT353" s="11"/>
      <c r="BU353" s="6"/>
      <c r="BV353" s="6"/>
    </row>
    <row r="354" spans="1:74" ht="15.75" x14ac:dyDescent="0.25">
      <c r="A354" s="50" t="s">
        <v>449</v>
      </c>
      <c r="B354" s="52"/>
      <c r="C354" s="7" t="s">
        <v>118</v>
      </c>
      <c r="D354" s="7" t="s">
        <v>1209</v>
      </c>
      <c r="E354" s="7"/>
      <c r="F354" s="55"/>
      <c r="G354" s="6"/>
      <c r="H354" s="6"/>
      <c r="I354" s="10" t="s">
        <v>110</v>
      </c>
      <c r="J354" s="11" t="s">
        <v>1059</v>
      </c>
      <c r="K354" s="102" t="s">
        <v>377</v>
      </c>
      <c r="L354" s="98"/>
      <c r="M354" s="98">
        <v>1000</v>
      </c>
      <c r="N354" s="60" t="s">
        <v>1210</v>
      </c>
      <c r="O354" s="88"/>
      <c r="P354" s="60" t="s">
        <v>1282</v>
      </c>
      <c r="Q354" s="60"/>
      <c r="R354" s="60"/>
      <c r="S354" s="89"/>
      <c r="T354" s="106"/>
      <c r="U354" s="88"/>
      <c r="V354" s="91"/>
      <c r="W354" s="12" t="s">
        <v>515</v>
      </c>
      <c r="X354" s="103"/>
      <c r="Y354" s="6" t="s">
        <v>1281</v>
      </c>
      <c r="Z354" s="64" t="s">
        <v>522</v>
      </c>
      <c r="AA354" s="12">
        <v>24</v>
      </c>
      <c r="AB354" s="6" t="s">
        <v>148</v>
      </c>
      <c r="AC354" s="64">
        <v>3084</v>
      </c>
      <c r="AJ354" s="60"/>
      <c r="AK354" s="67" t="s">
        <v>450</v>
      </c>
      <c r="AN354" s="60"/>
      <c r="AO354" s="60"/>
      <c r="AP354" s="60"/>
      <c r="AQ354" s="60"/>
      <c r="AR354" s="72"/>
      <c r="AS354" s="60"/>
      <c r="AT354" s="7"/>
      <c r="AU354" s="7"/>
      <c r="AV354" s="92"/>
      <c r="AW354" s="93"/>
      <c r="AX354" s="77"/>
      <c r="AY354" s="80"/>
      <c r="AZ354" s="94"/>
      <c r="BA354" s="94"/>
      <c r="BB354" s="80" t="s">
        <v>519</v>
      </c>
      <c r="BC354" s="95"/>
      <c r="BD354" s="92"/>
      <c r="BE354" s="92"/>
      <c r="BF354" s="92"/>
      <c r="BG354" s="92"/>
      <c r="BH354" s="92"/>
      <c r="BI354" s="92"/>
      <c r="BJ354" s="92"/>
      <c r="BK354" s="92"/>
      <c r="BL354" s="92"/>
      <c r="BM354" s="92"/>
      <c r="BN354" s="92"/>
      <c r="BO354" s="92"/>
      <c r="BP354" s="92"/>
      <c r="BQ354" s="92"/>
      <c r="BS354" s="6"/>
      <c r="BT354" s="11"/>
      <c r="BU354" s="6"/>
      <c r="BV354" s="6"/>
    </row>
    <row r="355" spans="1:74" ht="15.75" x14ac:dyDescent="0.25">
      <c r="A355" s="50" t="s">
        <v>449</v>
      </c>
      <c r="B355" s="52"/>
      <c r="C355" s="7" t="s">
        <v>118</v>
      </c>
      <c r="D355" s="7" t="s">
        <v>1209</v>
      </c>
      <c r="E355" s="7"/>
      <c r="F355" s="55"/>
      <c r="G355" s="6"/>
      <c r="H355" s="6"/>
      <c r="I355" s="10" t="s">
        <v>110</v>
      </c>
      <c r="J355" s="11" t="s">
        <v>1061</v>
      </c>
      <c r="K355" s="102" t="s">
        <v>377</v>
      </c>
      <c r="L355" s="98"/>
      <c r="M355" s="98">
        <v>1000</v>
      </c>
      <c r="N355" s="60" t="s">
        <v>1210</v>
      </c>
      <c r="O355" s="88"/>
      <c r="P355" s="60" t="s">
        <v>1283</v>
      </c>
      <c r="Q355" s="60"/>
      <c r="R355" s="60"/>
      <c r="S355" s="89"/>
      <c r="T355" s="106"/>
      <c r="U355" s="88"/>
      <c r="V355" s="91"/>
      <c r="W355" s="12" t="s">
        <v>515</v>
      </c>
      <c r="X355" s="103"/>
      <c r="Y355" s="6" t="s">
        <v>1284</v>
      </c>
      <c r="Z355" s="64" t="s">
        <v>517</v>
      </c>
      <c r="AA355" s="12">
        <v>25</v>
      </c>
      <c r="AB355" s="6" t="s">
        <v>148</v>
      </c>
      <c r="AC355" s="64">
        <v>3060</v>
      </c>
      <c r="AJ355" s="60"/>
      <c r="AK355" s="67" t="s">
        <v>518</v>
      </c>
      <c r="AN355" s="60"/>
      <c r="AO355" s="60"/>
      <c r="AP355" s="60"/>
      <c r="AQ355" s="60"/>
      <c r="AR355" s="72"/>
      <c r="AS355" s="60"/>
      <c r="AT355" s="7"/>
      <c r="AU355" s="7"/>
      <c r="AV355" s="92"/>
      <c r="AW355" s="93"/>
      <c r="AX355" s="77"/>
      <c r="AY355" s="80"/>
      <c r="AZ355" s="94"/>
      <c r="BA355" s="94"/>
      <c r="BB355" s="80" t="s">
        <v>519</v>
      </c>
      <c r="BC355" s="95"/>
      <c r="BD355" s="92"/>
      <c r="BE355" s="92"/>
      <c r="BF355" s="92"/>
      <c r="BG355" s="92"/>
      <c r="BH355" s="92"/>
      <c r="BI355" s="92"/>
      <c r="BJ355" s="92"/>
      <c r="BK355" s="92"/>
      <c r="BL355" s="92"/>
      <c r="BM355" s="92"/>
      <c r="BN355" s="92"/>
      <c r="BO355" s="92"/>
      <c r="BP355" s="92"/>
      <c r="BQ355" s="92"/>
      <c r="BS355" s="6"/>
      <c r="BT355" s="11"/>
      <c r="BU355" s="6"/>
      <c r="BV355" s="6"/>
    </row>
    <row r="356" spans="1:74" ht="15.75" x14ac:dyDescent="0.25">
      <c r="A356" s="50" t="s">
        <v>449</v>
      </c>
      <c r="B356" s="52"/>
      <c r="C356" s="7" t="s">
        <v>118</v>
      </c>
      <c r="D356" s="7" t="s">
        <v>1209</v>
      </c>
      <c r="E356" s="7"/>
      <c r="F356" s="55"/>
      <c r="G356" s="6"/>
      <c r="H356" s="6"/>
      <c r="I356" s="10" t="s">
        <v>110</v>
      </c>
      <c r="J356" s="11" t="s">
        <v>1064</v>
      </c>
      <c r="K356" s="102" t="s">
        <v>377</v>
      </c>
      <c r="L356" s="98"/>
      <c r="M356" s="98">
        <v>1000</v>
      </c>
      <c r="N356" s="60" t="s">
        <v>1210</v>
      </c>
      <c r="O356" s="88"/>
      <c r="P356" s="60" t="s">
        <v>1285</v>
      </c>
      <c r="Q356" s="60"/>
      <c r="R356" s="60"/>
      <c r="S356" s="89"/>
      <c r="T356" s="106"/>
      <c r="U356" s="88"/>
      <c r="V356" s="91"/>
      <c r="W356" s="12" t="s">
        <v>515</v>
      </c>
      <c r="X356" s="103"/>
      <c r="Y356" s="6" t="s">
        <v>1284</v>
      </c>
      <c r="Z356" s="64" t="s">
        <v>522</v>
      </c>
      <c r="AA356" s="12">
        <v>25</v>
      </c>
      <c r="AB356" s="6" t="s">
        <v>148</v>
      </c>
      <c r="AC356" s="64">
        <v>3084</v>
      </c>
      <c r="AJ356" s="60"/>
      <c r="AK356" s="67" t="s">
        <v>450</v>
      </c>
      <c r="AN356" s="60"/>
      <c r="AO356" s="60"/>
      <c r="AP356" s="60"/>
      <c r="AQ356" s="60"/>
      <c r="AR356" s="72"/>
      <c r="AS356" s="60"/>
      <c r="AT356" s="7"/>
      <c r="AU356" s="7"/>
      <c r="AV356" s="92"/>
      <c r="AW356" s="93"/>
      <c r="AX356" s="77"/>
      <c r="AY356" s="80"/>
      <c r="AZ356" s="94"/>
      <c r="BA356" s="94"/>
      <c r="BB356" s="80" t="s">
        <v>519</v>
      </c>
      <c r="BC356" s="95"/>
      <c r="BD356" s="92"/>
      <c r="BE356" s="92"/>
      <c r="BF356" s="92"/>
      <c r="BG356" s="92"/>
      <c r="BH356" s="92"/>
      <c r="BI356" s="92"/>
      <c r="BJ356" s="92"/>
      <c r="BK356" s="92"/>
      <c r="BL356" s="92"/>
      <c r="BM356" s="92"/>
      <c r="BN356" s="92"/>
      <c r="BO356" s="92"/>
      <c r="BP356" s="92"/>
      <c r="BQ356" s="92"/>
      <c r="BS356" s="6"/>
      <c r="BT356" s="11"/>
      <c r="BU356" s="6"/>
      <c r="BV356" s="6"/>
    </row>
    <row r="357" spans="1:74" ht="15.75" x14ac:dyDescent="0.25">
      <c r="A357" s="50" t="s">
        <v>449</v>
      </c>
      <c r="B357" s="52"/>
      <c r="C357" s="7" t="s">
        <v>118</v>
      </c>
      <c r="D357" s="7" t="s">
        <v>1209</v>
      </c>
      <c r="E357" s="7"/>
      <c r="F357" s="55"/>
      <c r="G357" s="6"/>
      <c r="H357" s="6"/>
      <c r="I357" s="10" t="s">
        <v>110</v>
      </c>
      <c r="J357" s="11" t="s">
        <v>1066</v>
      </c>
      <c r="K357" s="102" t="s">
        <v>377</v>
      </c>
      <c r="L357" s="98"/>
      <c r="M357" s="98">
        <v>1000</v>
      </c>
      <c r="N357" s="60" t="s">
        <v>1210</v>
      </c>
      <c r="O357" s="88"/>
      <c r="P357" s="60" t="s">
        <v>1286</v>
      </c>
      <c r="Q357" s="60"/>
      <c r="R357" s="60"/>
      <c r="S357" s="89"/>
      <c r="T357" s="106"/>
      <c r="U357" s="88"/>
      <c r="V357" s="91"/>
      <c r="W357" s="12" t="s">
        <v>515</v>
      </c>
      <c r="X357" s="103"/>
      <c r="Y357" s="6" t="s">
        <v>1287</v>
      </c>
      <c r="Z357" s="64" t="s">
        <v>517</v>
      </c>
      <c r="AA357" s="12">
        <v>26</v>
      </c>
      <c r="AB357" s="6" t="s">
        <v>148</v>
      </c>
      <c r="AC357" s="64">
        <v>3060</v>
      </c>
      <c r="AJ357" s="60"/>
      <c r="AK357" s="67" t="s">
        <v>518</v>
      </c>
      <c r="AN357" s="60"/>
      <c r="AO357" s="60"/>
      <c r="AP357" s="60"/>
      <c r="AQ357" s="60"/>
      <c r="AR357" s="72"/>
      <c r="AS357" s="60"/>
      <c r="AT357" s="7"/>
      <c r="AU357" s="7"/>
      <c r="AV357" s="92"/>
      <c r="AW357" s="93"/>
      <c r="AX357" s="77"/>
      <c r="AY357" s="80"/>
      <c r="AZ357" s="94"/>
      <c r="BA357" s="94"/>
      <c r="BB357" s="80" t="s">
        <v>519</v>
      </c>
      <c r="BC357" s="95"/>
      <c r="BD357" s="92"/>
      <c r="BE357" s="92"/>
      <c r="BF357" s="92"/>
      <c r="BG357" s="92"/>
      <c r="BH357" s="92"/>
      <c r="BI357" s="92"/>
      <c r="BJ357" s="92"/>
      <c r="BK357" s="92"/>
      <c r="BL357" s="92"/>
      <c r="BM357" s="92"/>
      <c r="BN357" s="92"/>
      <c r="BO357" s="92"/>
      <c r="BP357" s="92"/>
      <c r="BQ357" s="92"/>
      <c r="BS357" s="6"/>
      <c r="BT357" s="11"/>
      <c r="BU357" s="6"/>
      <c r="BV357" s="6"/>
    </row>
    <row r="358" spans="1:74" ht="15.75" x14ac:dyDescent="0.25">
      <c r="A358" s="50" t="s">
        <v>449</v>
      </c>
      <c r="B358" s="52"/>
      <c r="C358" s="7" t="s">
        <v>118</v>
      </c>
      <c r="D358" s="7" t="s">
        <v>1209</v>
      </c>
      <c r="E358" s="7"/>
      <c r="F358" s="55"/>
      <c r="G358" s="6"/>
      <c r="H358" s="6"/>
      <c r="I358" s="10" t="s">
        <v>110</v>
      </c>
      <c r="J358" s="11" t="s">
        <v>1069</v>
      </c>
      <c r="K358" s="102" t="s">
        <v>377</v>
      </c>
      <c r="L358" s="98"/>
      <c r="M358" s="98">
        <v>1000</v>
      </c>
      <c r="N358" s="60" t="s">
        <v>1210</v>
      </c>
      <c r="O358" s="88"/>
      <c r="P358" s="60" t="s">
        <v>1288</v>
      </c>
      <c r="Q358" s="60"/>
      <c r="R358" s="60"/>
      <c r="S358" s="89"/>
      <c r="T358" s="106"/>
      <c r="U358" s="88"/>
      <c r="V358" s="91"/>
      <c r="W358" s="12" t="s">
        <v>515</v>
      </c>
      <c r="X358" s="103"/>
      <c r="Y358" s="6" t="s">
        <v>1287</v>
      </c>
      <c r="Z358" s="64" t="s">
        <v>522</v>
      </c>
      <c r="AA358" s="12">
        <v>26</v>
      </c>
      <c r="AB358" s="6" t="s">
        <v>148</v>
      </c>
      <c r="AC358" s="64">
        <v>3084</v>
      </c>
      <c r="AJ358" s="60"/>
      <c r="AK358" s="67" t="s">
        <v>450</v>
      </c>
      <c r="AN358" s="60"/>
      <c r="AO358" s="60"/>
      <c r="AP358" s="60"/>
      <c r="AQ358" s="60"/>
      <c r="AR358" s="72"/>
      <c r="AS358" s="60"/>
      <c r="AT358" s="7"/>
      <c r="AU358" s="7"/>
      <c r="AV358" s="92"/>
      <c r="AW358" s="93"/>
      <c r="AX358" s="77"/>
      <c r="AY358" s="80"/>
      <c r="AZ358" s="94"/>
      <c r="BA358" s="94"/>
      <c r="BB358" s="80" t="s">
        <v>519</v>
      </c>
      <c r="BC358" s="95"/>
      <c r="BD358" s="92"/>
      <c r="BE358" s="92"/>
      <c r="BF358" s="92"/>
      <c r="BG358" s="92"/>
      <c r="BH358" s="92"/>
      <c r="BI358" s="92"/>
      <c r="BJ358" s="92"/>
      <c r="BK358" s="92"/>
      <c r="BL358" s="92"/>
      <c r="BM358" s="92"/>
      <c r="BN358" s="92"/>
      <c r="BO358" s="92"/>
      <c r="BP358" s="92"/>
      <c r="BQ358" s="92"/>
      <c r="BS358" s="6"/>
      <c r="BT358" s="11"/>
      <c r="BU358" s="6"/>
      <c r="BV358" s="6"/>
    </row>
    <row r="359" spans="1:74" ht="15.75" x14ac:dyDescent="0.25">
      <c r="A359" s="50" t="s">
        <v>449</v>
      </c>
      <c r="B359" s="52"/>
      <c r="C359" s="7" t="s">
        <v>118</v>
      </c>
      <c r="D359" s="7" t="s">
        <v>1209</v>
      </c>
      <c r="E359" s="7"/>
      <c r="F359" s="55"/>
      <c r="G359" s="6"/>
      <c r="H359" s="6"/>
      <c r="I359" s="10" t="s">
        <v>110</v>
      </c>
      <c r="J359" s="11" t="s">
        <v>1071</v>
      </c>
      <c r="K359" s="102" t="s">
        <v>377</v>
      </c>
      <c r="L359" s="98"/>
      <c r="M359" s="98">
        <v>1000</v>
      </c>
      <c r="N359" s="60" t="s">
        <v>1210</v>
      </c>
      <c r="O359" s="88"/>
      <c r="P359" s="60" t="s">
        <v>1289</v>
      </c>
      <c r="Q359" s="60"/>
      <c r="R359" s="60"/>
      <c r="S359" s="89"/>
      <c r="T359" s="106"/>
      <c r="U359" s="88"/>
      <c r="V359" s="91"/>
      <c r="W359" s="12" t="s">
        <v>515</v>
      </c>
      <c r="X359" s="103"/>
      <c r="Y359" s="6" t="s">
        <v>1290</v>
      </c>
      <c r="Z359" s="64" t="s">
        <v>517</v>
      </c>
      <c r="AA359" s="12">
        <v>27</v>
      </c>
      <c r="AB359" s="6" t="s">
        <v>148</v>
      </c>
      <c r="AC359" s="64">
        <v>3060</v>
      </c>
      <c r="AJ359" s="60"/>
      <c r="AK359" s="67" t="s">
        <v>518</v>
      </c>
      <c r="AN359" s="60"/>
      <c r="AO359" s="60"/>
      <c r="AP359" s="60"/>
      <c r="AQ359" s="60"/>
      <c r="AR359" s="72"/>
      <c r="AS359" s="60"/>
      <c r="AT359" s="7"/>
      <c r="AU359" s="7"/>
      <c r="AV359" s="92"/>
      <c r="AW359" s="93"/>
      <c r="AX359" s="77"/>
      <c r="AY359" s="80"/>
      <c r="AZ359" s="94"/>
      <c r="BA359" s="94"/>
      <c r="BB359" s="80" t="s">
        <v>519</v>
      </c>
      <c r="BC359" s="95"/>
      <c r="BD359" s="92"/>
      <c r="BE359" s="92"/>
      <c r="BF359" s="92"/>
      <c r="BG359" s="92"/>
      <c r="BH359" s="92"/>
      <c r="BI359" s="92"/>
      <c r="BJ359" s="92"/>
      <c r="BK359" s="92"/>
      <c r="BL359" s="92"/>
      <c r="BM359" s="92"/>
      <c r="BN359" s="92"/>
      <c r="BO359" s="92"/>
      <c r="BP359" s="92"/>
      <c r="BQ359" s="92"/>
      <c r="BS359" s="6"/>
      <c r="BT359" s="11"/>
      <c r="BU359" s="6"/>
      <c r="BV359" s="6"/>
    </row>
    <row r="360" spans="1:74" ht="15.75" x14ac:dyDescent="0.25">
      <c r="A360" s="50" t="s">
        <v>449</v>
      </c>
      <c r="B360" s="52"/>
      <c r="C360" s="7" t="s">
        <v>118</v>
      </c>
      <c r="D360" s="7" t="s">
        <v>1209</v>
      </c>
      <c r="E360" s="7"/>
      <c r="F360" s="55"/>
      <c r="G360" s="6"/>
      <c r="H360" s="6"/>
      <c r="I360" s="10" t="s">
        <v>110</v>
      </c>
      <c r="J360" s="11" t="s">
        <v>1074</v>
      </c>
      <c r="K360" s="102" t="s">
        <v>377</v>
      </c>
      <c r="L360" s="98"/>
      <c r="M360" s="98">
        <v>1000</v>
      </c>
      <c r="N360" s="60" t="s">
        <v>1210</v>
      </c>
      <c r="O360" s="88"/>
      <c r="P360" s="60" t="s">
        <v>1291</v>
      </c>
      <c r="Q360" s="60"/>
      <c r="R360" s="60"/>
      <c r="S360" s="89"/>
      <c r="T360" s="106"/>
      <c r="U360" s="88"/>
      <c r="V360" s="91"/>
      <c r="W360" s="12" t="s">
        <v>515</v>
      </c>
      <c r="X360" s="103"/>
      <c r="Y360" s="6" t="s">
        <v>1290</v>
      </c>
      <c r="Z360" s="64" t="s">
        <v>522</v>
      </c>
      <c r="AA360" s="12">
        <v>27</v>
      </c>
      <c r="AB360" s="6" t="s">
        <v>148</v>
      </c>
      <c r="AC360" s="64">
        <v>3084</v>
      </c>
      <c r="AJ360" s="60"/>
      <c r="AK360" s="67" t="s">
        <v>450</v>
      </c>
      <c r="AN360" s="60"/>
      <c r="AO360" s="60"/>
      <c r="AP360" s="60"/>
      <c r="AQ360" s="60"/>
      <c r="AR360" s="72"/>
      <c r="AS360" s="60"/>
      <c r="AT360" s="7"/>
      <c r="AU360" s="7"/>
      <c r="AV360" s="92"/>
      <c r="AW360" s="93"/>
      <c r="AX360" s="77"/>
      <c r="AY360" s="80"/>
      <c r="AZ360" s="94"/>
      <c r="BA360" s="94"/>
      <c r="BB360" s="80" t="s">
        <v>519</v>
      </c>
      <c r="BC360" s="95"/>
      <c r="BD360" s="92"/>
      <c r="BE360" s="92"/>
      <c r="BF360" s="92"/>
      <c r="BG360" s="92"/>
      <c r="BH360" s="92"/>
      <c r="BI360" s="92"/>
      <c r="BJ360" s="92"/>
      <c r="BK360" s="92"/>
      <c r="BL360" s="92"/>
      <c r="BM360" s="92"/>
      <c r="BN360" s="92"/>
      <c r="BO360" s="92"/>
      <c r="BP360" s="92"/>
      <c r="BQ360" s="92"/>
      <c r="BS360" s="6"/>
      <c r="BT360" s="11"/>
      <c r="BU360" s="6"/>
      <c r="BV360" s="6"/>
    </row>
    <row r="361" spans="1:74" ht="15.75" x14ac:dyDescent="0.25">
      <c r="A361" s="50" t="s">
        <v>449</v>
      </c>
      <c r="B361" s="52"/>
      <c r="C361" s="7" t="s">
        <v>118</v>
      </c>
      <c r="D361" s="7" t="s">
        <v>1209</v>
      </c>
      <c r="E361" s="7"/>
      <c r="F361" s="55"/>
      <c r="G361" s="6"/>
      <c r="H361" s="6"/>
      <c r="I361" s="10" t="s">
        <v>110</v>
      </c>
      <c r="J361" s="11" t="s">
        <v>1076</v>
      </c>
      <c r="K361" s="102" t="s">
        <v>377</v>
      </c>
      <c r="L361" s="98"/>
      <c r="M361" s="98">
        <v>1000</v>
      </c>
      <c r="N361" s="60" t="s">
        <v>1210</v>
      </c>
      <c r="O361" s="88"/>
      <c r="P361" s="60" t="s">
        <v>1292</v>
      </c>
      <c r="Q361" s="60"/>
      <c r="R361" s="60"/>
      <c r="S361" s="89"/>
      <c r="T361" s="106"/>
      <c r="U361" s="88"/>
      <c r="V361" s="91"/>
      <c r="W361" s="12" t="s">
        <v>515</v>
      </c>
      <c r="X361" s="103"/>
      <c r="Y361" s="6" t="s">
        <v>1293</v>
      </c>
      <c r="Z361" s="64" t="s">
        <v>517</v>
      </c>
      <c r="AA361" s="12">
        <v>28</v>
      </c>
      <c r="AB361" s="6" t="s">
        <v>148</v>
      </c>
      <c r="AC361" s="64">
        <v>3060</v>
      </c>
      <c r="AJ361" s="60"/>
      <c r="AK361" s="67" t="s">
        <v>518</v>
      </c>
      <c r="AN361" s="60"/>
      <c r="AO361" s="60"/>
      <c r="AP361" s="60"/>
      <c r="AQ361" s="60"/>
      <c r="AR361" s="72"/>
      <c r="AS361" s="60"/>
      <c r="AT361" s="7"/>
      <c r="AU361" s="7"/>
      <c r="AV361" s="92"/>
      <c r="AW361" s="93"/>
      <c r="AX361" s="77"/>
      <c r="AY361" s="80"/>
      <c r="AZ361" s="94"/>
      <c r="BA361" s="94"/>
      <c r="BB361" s="80" t="s">
        <v>519</v>
      </c>
      <c r="BC361" s="95"/>
      <c r="BD361" s="92"/>
      <c r="BE361" s="92"/>
      <c r="BF361" s="92"/>
      <c r="BG361" s="92"/>
      <c r="BH361" s="92"/>
      <c r="BI361" s="92"/>
      <c r="BJ361" s="92"/>
      <c r="BK361" s="92"/>
      <c r="BL361" s="92"/>
      <c r="BM361" s="92"/>
      <c r="BN361" s="92"/>
      <c r="BO361" s="92"/>
      <c r="BP361" s="92"/>
      <c r="BQ361" s="92"/>
      <c r="BS361" s="6"/>
      <c r="BT361" s="11"/>
      <c r="BU361" s="6"/>
      <c r="BV361" s="6"/>
    </row>
    <row r="362" spans="1:74" ht="15.75" x14ac:dyDescent="0.25">
      <c r="A362" s="50" t="s">
        <v>449</v>
      </c>
      <c r="B362" s="52"/>
      <c r="C362" s="7" t="s">
        <v>118</v>
      </c>
      <c r="D362" s="7" t="s">
        <v>1209</v>
      </c>
      <c r="E362" s="7"/>
      <c r="F362" s="55"/>
      <c r="G362" s="6"/>
      <c r="H362" s="6"/>
      <c r="I362" s="10" t="s">
        <v>110</v>
      </c>
      <c r="J362" s="11" t="s">
        <v>1079</v>
      </c>
      <c r="K362" s="102" t="s">
        <v>377</v>
      </c>
      <c r="L362" s="98"/>
      <c r="M362" s="98">
        <v>1000</v>
      </c>
      <c r="N362" s="60" t="s">
        <v>1210</v>
      </c>
      <c r="O362" s="88"/>
      <c r="P362" s="60" t="s">
        <v>1294</v>
      </c>
      <c r="Q362" s="60"/>
      <c r="R362" s="60"/>
      <c r="S362" s="89"/>
      <c r="T362" s="106"/>
      <c r="U362" s="88"/>
      <c r="V362" s="91"/>
      <c r="W362" s="12" t="s">
        <v>515</v>
      </c>
      <c r="X362" s="103"/>
      <c r="Y362" s="6" t="s">
        <v>1293</v>
      </c>
      <c r="Z362" s="64" t="s">
        <v>522</v>
      </c>
      <c r="AA362" s="12">
        <v>28</v>
      </c>
      <c r="AB362" s="6" t="s">
        <v>148</v>
      </c>
      <c r="AC362" s="64">
        <v>3084</v>
      </c>
      <c r="AJ362" s="60"/>
      <c r="AK362" s="67" t="s">
        <v>450</v>
      </c>
      <c r="AN362" s="60"/>
      <c r="AO362" s="60"/>
      <c r="AP362" s="60"/>
      <c r="AQ362" s="60"/>
      <c r="AR362" s="72"/>
      <c r="AS362" s="60"/>
      <c r="AT362" s="7"/>
      <c r="AU362" s="7"/>
      <c r="AV362" s="92"/>
      <c r="AW362" s="93"/>
      <c r="AX362" s="77"/>
      <c r="AY362" s="80"/>
      <c r="AZ362" s="94"/>
      <c r="BA362" s="94"/>
      <c r="BB362" s="80" t="s">
        <v>519</v>
      </c>
      <c r="BC362" s="95"/>
      <c r="BD362" s="92"/>
      <c r="BE362" s="92"/>
      <c r="BF362" s="92"/>
      <c r="BG362" s="92"/>
      <c r="BH362" s="92"/>
      <c r="BI362" s="92"/>
      <c r="BJ362" s="92"/>
      <c r="BK362" s="92"/>
      <c r="BL362" s="92"/>
      <c r="BM362" s="92"/>
      <c r="BN362" s="92"/>
      <c r="BO362" s="92"/>
      <c r="BP362" s="92"/>
      <c r="BQ362" s="92"/>
      <c r="BS362" s="6"/>
      <c r="BT362" s="11"/>
      <c r="BU362" s="6"/>
      <c r="BV362" s="6"/>
    </row>
    <row r="363" spans="1:74" ht="15.75" x14ac:dyDescent="0.25">
      <c r="A363" s="50" t="s">
        <v>449</v>
      </c>
      <c r="B363" s="52"/>
      <c r="C363" s="7" t="s">
        <v>118</v>
      </c>
      <c r="D363" s="7" t="s">
        <v>1209</v>
      </c>
      <c r="E363" s="7"/>
      <c r="F363" s="55"/>
      <c r="G363" s="6"/>
      <c r="H363" s="6"/>
      <c r="I363" s="10" t="s">
        <v>110</v>
      </c>
      <c r="J363" s="11" t="s">
        <v>1081</v>
      </c>
      <c r="K363" s="102" t="s">
        <v>377</v>
      </c>
      <c r="L363" s="98"/>
      <c r="M363" s="98">
        <v>1000</v>
      </c>
      <c r="N363" s="60" t="s">
        <v>1210</v>
      </c>
      <c r="O363" s="88"/>
      <c r="P363" s="60" t="s">
        <v>1295</v>
      </c>
      <c r="Q363" s="60"/>
      <c r="R363" s="60"/>
      <c r="S363" s="89"/>
      <c r="T363" s="106"/>
      <c r="U363" s="88"/>
      <c r="V363" s="91"/>
      <c r="W363" s="12" t="s">
        <v>515</v>
      </c>
      <c r="X363" s="103"/>
      <c r="Y363" s="6" t="s">
        <v>1296</v>
      </c>
      <c r="Z363" s="64" t="s">
        <v>517</v>
      </c>
      <c r="AA363" s="12">
        <v>29</v>
      </c>
      <c r="AB363" s="6" t="s">
        <v>148</v>
      </c>
      <c r="AC363" s="64">
        <v>3060</v>
      </c>
      <c r="AJ363" s="60"/>
      <c r="AK363" s="67" t="s">
        <v>518</v>
      </c>
      <c r="AN363" s="60"/>
      <c r="AO363" s="60"/>
      <c r="AP363" s="60"/>
      <c r="AQ363" s="60"/>
      <c r="AR363" s="72"/>
      <c r="AS363" s="60"/>
      <c r="AT363" s="7"/>
      <c r="AU363" s="7"/>
      <c r="AV363" s="92"/>
      <c r="AW363" s="93"/>
      <c r="AX363" s="77"/>
      <c r="AY363" s="80"/>
      <c r="AZ363" s="94"/>
      <c r="BA363" s="94"/>
      <c r="BB363" s="80" t="s">
        <v>519</v>
      </c>
      <c r="BC363" s="95"/>
      <c r="BD363" s="92"/>
      <c r="BE363" s="92"/>
      <c r="BF363" s="92"/>
      <c r="BG363" s="92"/>
      <c r="BH363" s="92"/>
      <c r="BI363" s="92"/>
      <c r="BJ363" s="92"/>
      <c r="BK363" s="92"/>
      <c r="BL363" s="92"/>
      <c r="BM363" s="92"/>
      <c r="BN363" s="92"/>
      <c r="BO363" s="92"/>
      <c r="BP363" s="92"/>
      <c r="BQ363" s="92"/>
      <c r="BS363" s="6"/>
      <c r="BT363" s="11"/>
      <c r="BU363" s="6"/>
      <c r="BV363" s="6"/>
    </row>
    <row r="364" spans="1:74" ht="15.75" x14ac:dyDescent="0.25">
      <c r="A364" s="50" t="s">
        <v>449</v>
      </c>
      <c r="B364" s="52"/>
      <c r="C364" s="7" t="s">
        <v>118</v>
      </c>
      <c r="D364" s="7" t="s">
        <v>1209</v>
      </c>
      <c r="E364" s="7"/>
      <c r="F364" s="55"/>
      <c r="G364" s="6"/>
      <c r="H364" s="6"/>
      <c r="I364" s="10" t="s">
        <v>110</v>
      </c>
      <c r="J364" s="11" t="s">
        <v>1084</v>
      </c>
      <c r="K364" s="102" t="s">
        <v>377</v>
      </c>
      <c r="L364" s="98"/>
      <c r="M364" s="98">
        <v>1000</v>
      </c>
      <c r="N364" s="60" t="s">
        <v>1210</v>
      </c>
      <c r="O364" s="88"/>
      <c r="P364" s="60" t="s">
        <v>1297</v>
      </c>
      <c r="Q364" s="60"/>
      <c r="R364" s="60"/>
      <c r="S364" s="89"/>
      <c r="T364" s="106"/>
      <c r="U364" s="88"/>
      <c r="V364" s="91"/>
      <c r="W364" s="12" t="s">
        <v>515</v>
      </c>
      <c r="X364" s="103"/>
      <c r="Y364" s="6" t="s">
        <v>1296</v>
      </c>
      <c r="Z364" s="64" t="s">
        <v>522</v>
      </c>
      <c r="AA364" s="12">
        <v>29</v>
      </c>
      <c r="AB364" s="6" t="s">
        <v>148</v>
      </c>
      <c r="AC364" s="64">
        <v>3084</v>
      </c>
      <c r="AJ364" s="60"/>
      <c r="AK364" s="67" t="s">
        <v>450</v>
      </c>
      <c r="AN364" s="60"/>
      <c r="AO364" s="60"/>
      <c r="AP364" s="60"/>
      <c r="AQ364" s="60"/>
      <c r="AR364" s="72"/>
      <c r="AS364" s="60"/>
      <c r="AT364" s="7"/>
      <c r="AU364" s="7"/>
      <c r="AV364" s="92"/>
      <c r="AW364" s="93"/>
      <c r="AX364" s="77"/>
      <c r="AY364" s="80"/>
      <c r="AZ364" s="94"/>
      <c r="BA364" s="94"/>
      <c r="BB364" s="80" t="s">
        <v>519</v>
      </c>
      <c r="BC364" s="95"/>
      <c r="BD364" s="92"/>
      <c r="BE364" s="92"/>
      <c r="BF364" s="92"/>
      <c r="BG364" s="92"/>
      <c r="BH364" s="92"/>
      <c r="BI364" s="92"/>
      <c r="BJ364" s="92"/>
      <c r="BK364" s="92"/>
      <c r="BL364" s="92"/>
      <c r="BM364" s="92"/>
      <c r="BN364" s="92"/>
      <c r="BO364" s="92"/>
      <c r="BP364" s="92"/>
      <c r="BQ364" s="92"/>
      <c r="BS364" s="6"/>
      <c r="BT364" s="11"/>
      <c r="BU364" s="6"/>
      <c r="BV364" s="6"/>
    </row>
    <row r="365" spans="1:74" ht="15.75" x14ac:dyDescent="0.25">
      <c r="A365" s="50" t="s">
        <v>449</v>
      </c>
      <c r="B365" s="52"/>
      <c r="C365" s="7" t="s">
        <v>118</v>
      </c>
      <c r="D365" s="7" t="s">
        <v>1209</v>
      </c>
      <c r="E365" s="7"/>
      <c r="F365" s="55"/>
      <c r="G365" s="6"/>
      <c r="H365" s="6"/>
      <c r="I365" s="10" t="s">
        <v>110</v>
      </c>
      <c r="J365" s="11" t="s">
        <v>1086</v>
      </c>
      <c r="K365" s="102" t="s">
        <v>377</v>
      </c>
      <c r="L365" s="98"/>
      <c r="M365" s="98">
        <v>1000</v>
      </c>
      <c r="N365" s="60" t="s">
        <v>1210</v>
      </c>
      <c r="O365" s="88"/>
      <c r="P365" s="60" t="s">
        <v>1298</v>
      </c>
      <c r="Q365" s="60"/>
      <c r="R365" s="60"/>
      <c r="S365" s="89"/>
      <c r="T365" s="106"/>
      <c r="U365" s="88"/>
      <c r="V365" s="91"/>
      <c r="W365" s="12" t="s">
        <v>515</v>
      </c>
      <c r="X365" s="103"/>
      <c r="Y365" s="6" t="s">
        <v>1299</v>
      </c>
      <c r="Z365" s="64" t="s">
        <v>517</v>
      </c>
      <c r="AA365" s="12">
        <v>30</v>
      </c>
      <c r="AB365" s="6" t="s">
        <v>148</v>
      </c>
      <c r="AC365" s="64">
        <v>3060</v>
      </c>
      <c r="AJ365" s="60"/>
      <c r="AK365" s="67" t="s">
        <v>518</v>
      </c>
      <c r="AN365" s="60"/>
      <c r="AO365" s="60"/>
      <c r="AP365" s="60"/>
      <c r="AQ365" s="60"/>
      <c r="AR365" s="72"/>
      <c r="AS365" s="60"/>
      <c r="AT365" s="7"/>
      <c r="AU365" s="7"/>
      <c r="AV365" s="92"/>
      <c r="AW365" s="93"/>
      <c r="AX365" s="77"/>
      <c r="AY365" s="80"/>
      <c r="AZ365" s="94"/>
      <c r="BA365" s="94"/>
      <c r="BB365" s="80" t="s">
        <v>519</v>
      </c>
      <c r="BC365" s="95"/>
      <c r="BD365" s="92"/>
      <c r="BE365" s="92"/>
      <c r="BF365" s="92"/>
      <c r="BG365" s="92"/>
      <c r="BH365" s="92"/>
      <c r="BI365" s="92"/>
      <c r="BJ365" s="92"/>
      <c r="BK365" s="92"/>
      <c r="BL365" s="92"/>
      <c r="BM365" s="92"/>
      <c r="BN365" s="92"/>
      <c r="BO365" s="92"/>
      <c r="BP365" s="92"/>
      <c r="BQ365" s="92"/>
      <c r="BS365" s="6"/>
      <c r="BT365" s="11"/>
      <c r="BU365" s="6"/>
      <c r="BV365" s="6"/>
    </row>
    <row r="366" spans="1:74" ht="15.75" x14ac:dyDescent="0.25">
      <c r="A366" s="50" t="s">
        <v>449</v>
      </c>
      <c r="B366" s="52"/>
      <c r="C366" s="7" t="s">
        <v>118</v>
      </c>
      <c r="D366" s="7" t="s">
        <v>1209</v>
      </c>
      <c r="E366" s="7"/>
      <c r="F366" s="55"/>
      <c r="G366" s="6"/>
      <c r="H366" s="6"/>
      <c r="I366" s="10" t="s">
        <v>110</v>
      </c>
      <c r="J366" s="11" t="s">
        <v>1089</v>
      </c>
      <c r="K366" s="102" t="s">
        <v>377</v>
      </c>
      <c r="L366" s="98"/>
      <c r="M366" s="98">
        <v>1000</v>
      </c>
      <c r="N366" s="60" t="s">
        <v>1210</v>
      </c>
      <c r="O366" s="88"/>
      <c r="P366" s="60" t="s">
        <v>1300</v>
      </c>
      <c r="Q366" s="60"/>
      <c r="R366" s="60"/>
      <c r="S366" s="89"/>
      <c r="T366" s="106"/>
      <c r="U366" s="88"/>
      <c r="V366" s="91"/>
      <c r="W366" s="12" t="s">
        <v>515</v>
      </c>
      <c r="X366" s="103"/>
      <c r="Y366" s="6" t="s">
        <v>1299</v>
      </c>
      <c r="Z366" s="64" t="s">
        <v>522</v>
      </c>
      <c r="AA366" s="12">
        <v>30</v>
      </c>
      <c r="AB366" s="6" t="s">
        <v>148</v>
      </c>
      <c r="AC366" s="64">
        <v>3084</v>
      </c>
      <c r="AJ366" s="60"/>
      <c r="AK366" s="67" t="s">
        <v>450</v>
      </c>
      <c r="AN366" s="60"/>
      <c r="AO366" s="60"/>
      <c r="AP366" s="60"/>
      <c r="AQ366" s="60"/>
      <c r="AR366" s="72"/>
      <c r="AS366" s="60"/>
      <c r="AT366" s="7"/>
      <c r="AU366" s="7"/>
      <c r="AV366" s="92"/>
      <c r="AW366" s="93"/>
      <c r="AX366" s="77"/>
      <c r="AY366" s="80"/>
      <c r="AZ366" s="94"/>
      <c r="BA366" s="94"/>
      <c r="BB366" s="80" t="s">
        <v>519</v>
      </c>
      <c r="BC366" s="95"/>
      <c r="BD366" s="92"/>
      <c r="BE366" s="92"/>
      <c r="BF366" s="92"/>
      <c r="BG366" s="92"/>
      <c r="BH366" s="92"/>
      <c r="BI366" s="92"/>
      <c r="BJ366" s="92"/>
      <c r="BK366" s="92"/>
      <c r="BL366" s="92"/>
      <c r="BM366" s="92"/>
      <c r="BN366" s="92"/>
      <c r="BO366" s="92"/>
      <c r="BP366" s="92"/>
      <c r="BQ366" s="92"/>
      <c r="BS366" s="6"/>
      <c r="BT366" s="11"/>
      <c r="BU366" s="6"/>
      <c r="BV366" s="6"/>
    </row>
    <row r="367" spans="1:74" ht="15.75" x14ac:dyDescent="0.25">
      <c r="A367" s="50" t="s">
        <v>449</v>
      </c>
      <c r="B367" s="52"/>
      <c r="C367" s="7" t="s">
        <v>118</v>
      </c>
      <c r="D367" s="7" t="s">
        <v>1209</v>
      </c>
      <c r="E367" s="7"/>
      <c r="F367" s="55"/>
      <c r="G367" s="6"/>
      <c r="H367" s="6"/>
      <c r="I367" s="10" t="s">
        <v>110</v>
      </c>
      <c r="J367" s="11" t="s">
        <v>1091</v>
      </c>
      <c r="K367" s="102" t="s">
        <v>377</v>
      </c>
      <c r="L367" s="98"/>
      <c r="M367" s="98">
        <v>1000</v>
      </c>
      <c r="N367" s="60" t="s">
        <v>1210</v>
      </c>
      <c r="O367" s="88"/>
      <c r="P367" s="60" t="s">
        <v>1301</v>
      </c>
      <c r="Q367" s="60"/>
      <c r="R367" s="60"/>
      <c r="S367" s="89"/>
      <c r="T367" s="106"/>
      <c r="U367" s="88"/>
      <c r="V367" s="91"/>
      <c r="W367" s="12" t="s">
        <v>515</v>
      </c>
      <c r="X367" s="103"/>
      <c r="Y367" s="6" t="s">
        <v>1302</v>
      </c>
      <c r="Z367" s="64" t="s">
        <v>517</v>
      </c>
      <c r="AA367" s="12">
        <v>31</v>
      </c>
      <c r="AB367" s="6" t="s">
        <v>148</v>
      </c>
      <c r="AC367" s="64">
        <v>3060</v>
      </c>
      <c r="AJ367" s="60"/>
      <c r="AK367" s="67" t="s">
        <v>518</v>
      </c>
      <c r="AN367" s="60"/>
      <c r="AO367" s="60"/>
      <c r="AP367" s="60"/>
      <c r="AQ367" s="60"/>
      <c r="AR367" s="72"/>
      <c r="AS367" s="60"/>
      <c r="AT367" s="7"/>
      <c r="AU367" s="7"/>
      <c r="AV367" s="92"/>
      <c r="AW367" s="93"/>
      <c r="AX367" s="77"/>
      <c r="AY367" s="80"/>
      <c r="AZ367" s="94"/>
      <c r="BA367" s="94"/>
      <c r="BB367" s="80" t="s">
        <v>519</v>
      </c>
      <c r="BC367" s="95"/>
      <c r="BD367" s="92"/>
      <c r="BE367" s="92"/>
      <c r="BF367" s="92"/>
      <c r="BG367" s="92"/>
      <c r="BH367" s="92"/>
      <c r="BI367" s="92"/>
      <c r="BJ367" s="92"/>
      <c r="BK367" s="92"/>
      <c r="BL367" s="92"/>
      <c r="BM367" s="92"/>
      <c r="BN367" s="92"/>
      <c r="BO367" s="92"/>
      <c r="BP367" s="92"/>
      <c r="BQ367" s="92"/>
      <c r="BS367" s="6"/>
      <c r="BT367" s="11"/>
      <c r="BU367" s="6"/>
      <c r="BV367" s="6"/>
    </row>
    <row r="368" spans="1:74" ht="15.75" x14ac:dyDescent="0.25">
      <c r="A368" s="50" t="s">
        <v>449</v>
      </c>
      <c r="B368" s="52"/>
      <c r="C368" s="7" t="s">
        <v>118</v>
      </c>
      <c r="D368" s="7" t="s">
        <v>1209</v>
      </c>
      <c r="E368" s="7"/>
      <c r="F368" s="55"/>
      <c r="G368" s="6"/>
      <c r="H368" s="6"/>
      <c r="I368" s="10" t="s">
        <v>110</v>
      </c>
      <c r="J368" s="11" t="s">
        <v>1092</v>
      </c>
      <c r="K368" s="102" t="s">
        <v>377</v>
      </c>
      <c r="L368" s="98"/>
      <c r="M368" s="98">
        <v>1000</v>
      </c>
      <c r="N368" s="60" t="s">
        <v>1210</v>
      </c>
      <c r="O368" s="88"/>
      <c r="P368" s="60" t="s">
        <v>1303</v>
      </c>
      <c r="Q368" s="60"/>
      <c r="R368" s="60"/>
      <c r="S368" s="89"/>
      <c r="T368" s="106"/>
      <c r="U368" s="88"/>
      <c r="V368" s="91"/>
      <c r="W368" s="12" t="s">
        <v>515</v>
      </c>
      <c r="X368" s="103"/>
      <c r="Y368" s="6" t="s">
        <v>1302</v>
      </c>
      <c r="Z368" s="64" t="s">
        <v>522</v>
      </c>
      <c r="AA368" s="12">
        <v>31</v>
      </c>
      <c r="AB368" s="6" t="s">
        <v>148</v>
      </c>
      <c r="AC368" s="64">
        <v>3084</v>
      </c>
      <c r="AJ368" s="60"/>
      <c r="AK368" s="67" t="s">
        <v>450</v>
      </c>
      <c r="AN368" s="60"/>
      <c r="AO368" s="60"/>
      <c r="AP368" s="60"/>
      <c r="AQ368" s="60"/>
      <c r="AR368" s="72"/>
      <c r="AS368" s="60"/>
      <c r="AT368" s="7"/>
      <c r="AU368" s="7"/>
      <c r="AV368" s="92"/>
      <c r="AW368" s="93"/>
      <c r="AX368" s="77"/>
      <c r="AY368" s="80"/>
      <c r="AZ368" s="94"/>
      <c r="BA368" s="94"/>
      <c r="BB368" s="80" t="s">
        <v>519</v>
      </c>
      <c r="BC368" s="95"/>
      <c r="BD368" s="92"/>
      <c r="BE368" s="92"/>
      <c r="BF368" s="92"/>
      <c r="BG368" s="92"/>
      <c r="BH368" s="92"/>
      <c r="BI368" s="92"/>
      <c r="BJ368" s="92"/>
      <c r="BK368" s="92"/>
      <c r="BL368" s="92"/>
      <c r="BM368" s="92"/>
      <c r="BN368" s="92"/>
      <c r="BO368" s="92"/>
      <c r="BP368" s="92"/>
      <c r="BQ368" s="92"/>
      <c r="BS368" s="6"/>
      <c r="BT368" s="11"/>
      <c r="BU368" s="6"/>
      <c r="BV368" s="6"/>
    </row>
    <row r="369" spans="1:74" ht="15.75" x14ac:dyDescent="0.25">
      <c r="A369" s="50" t="s">
        <v>449</v>
      </c>
      <c r="B369" s="52"/>
      <c r="C369" s="7" t="s">
        <v>118</v>
      </c>
      <c r="D369" s="7" t="s">
        <v>1209</v>
      </c>
      <c r="E369" s="7"/>
      <c r="F369" s="55"/>
      <c r="G369" s="6"/>
      <c r="H369" s="6"/>
      <c r="I369" s="10" t="s">
        <v>110</v>
      </c>
      <c r="J369" s="11" t="s">
        <v>1093</v>
      </c>
      <c r="K369" s="102" t="s">
        <v>377</v>
      </c>
      <c r="L369" s="98"/>
      <c r="M369" s="98">
        <v>1000</v>
      </c>
      <c r="N369" s="60" t="s">
        <v>1210</v>
      </c>
      <c r="O369" s="88"/>
      <c r="P369" s="60" t="s">
        <v>1304</v>
      </c>
      <c r="Q369" s="60"/>
      <c r="R369" s="60"/>
      <c r="S369" s="89"/>
      <c r="T369" s="106"/>
      <c r="U369" s="88"/>
      <c r="V369" s="91"/>
      <c r="W369" s="12" t="s">
        <v>515</v>
      </c>
      <c r="X369" s="103"/>
      <c r="Y369" s="6" t="s">
        <v>1305</v>
      </c>
      <c r="Z369" s="64" t="s">
        <v>517</v>
      </c>
      <c r="AA369" s="12">
        <v>32</v>
      </c>
      <c r="AB369" s="6" t="s">
        <v>148</v>
      </c>
      <c r="AC369" s="64">
        <v>3060</v>
      </c>
      <c r="AJ369" s="60"/>
      <c r="AK369" s="67" t="s">
        <v>518</v>
      </c>
      <c r="AN369" s="60"/>
      <c r="AO369" s="60"/>
      <c r="AP369" s="60"/>
      <c r="AQ369" s="60"/>
      <c r="AR369" s="72"/>
      <c r="AS369" s="60"/>
      <c r="AT369" s="7"/>
      <c r="AU369" s="7"/>
      <c r="AV369" s="92"/>
      <c r="AW369" s="93"/>
      <c r="AX369" s="77"/>
      <c r="AY369" s="80"/>
      <c r="AZ369" s="94"/>
      <c r="BA369" s="94"/>
      <c r="BB369" s="80" t="s">
        <v>519</v>
      </c>
      <c r="BC369" s="95"/>
      <c r="BD369" s="92"/>
      <c r="BE369" s="92"/>
      <c r="BF369" s="92"/>
      <c r="BG369" s="92"/>
      <c r="BH369" s="92"/>
      <c r="BI369" s="92"/>
      <c r="BJ369" s="92"/>
      <c r="BK369" s="92"/>
      <c r="BL369" s="92"/>
      <c r="BM369" s="92"/>
      <c r="BN369" s="92"/>
      <c r="BO369" s="92"/>
      <c r="BP369" s="92"/>
      <c r="BQ369" s="92"/>
      <c r="BS369" s="6"/>
      <c r="BT369" s="11"/>
      <c r="BU369" s="6"/>
      <c r="BV369" s="6"/>
    </row>
    <row r="370" spans="1:74" ht="15.75" x14ac:dyDescent="0.25">
      <c r="A370" s="50" t="s">
        <v>449</v>
      </c>
      <c r="B370" s="52"/>
      <c r="C370" s="7" t="s">
        <v>118</v>
      </c>
      <c r="D370" s="7" t="s">
        <v>1209</v>
      </c>
      <c r="E370" s="7"/>
      <c r="F370" s="55"/>
      <c r="G370" s="6"/>
      <c r="H370" s="6"/>
      <c r="I370" s="10" t="s">
        <v>110</v>
      </c>
      <c r="J370" s="11" t="s">
        <v>1094</v>
      </c>
      <c r="K370" s="102" t="s">
        <v>377</v>
      </c>
      <c r="L370" s="98"/>
      <c r="M370" s="98">
        <v>1000</v>
      </c>
      <c r="N370" s="60" t="s">
        <v>1210</v>
      </c>
      <c r="O370" s="88"/>
      <c r="P370" s="60" t="s">
        <v>1306</v>
      </c>
      <c r="Q370" s="60"/>
      <c r="R370" s="60"/>
      <c r="S370" s="89"/>
      <c r="T370" s="106"/>
      <c r="U370" s="88"/>
      <c r="V370" s="91"/>
      <c r="W370" s="12" t="s">
        <v>515</v>
      </c>
      <c r="X370" s="103"/>
      <c r="Y370" s="6" t="s">
        <v>1305</v>
      </c>
      <c r="Z370" s="64" t="s">
        <v>522</v>
      </c>
      <c r="AA370" s="12">
        <v>32</v>
      </c>
      <c r="AB370" s="6" t="s">
        <v>148</v>
      </c>
      <c r="AC370" s="64">
        <v>3084</v>
      </c>
      <c r="AJ370" s="60"/>
      <c r="AK370" s="67" t="s">
        <v>450</v>
      </c>
      <c r="AN370" s="60"/>
      <c r="AO370" s="60"/>
      <c r="AP370" s="60"/>
      <c r="AQ370" s="60"/>
      <c r="AR370" s="72"/>
      <c r="AS370" s="60"/>
      <c r="AT370" s="7"/>
      <c r="AU370" s="7"/>
      <c r="AV370" s="92"/>
      <c r="AW370" s="93"/>
      <c r="AX370" s="77"/>
      <c r="AY370" s="80"/>
      <c r="AZ370" s="94"/>
      <c r="BA370" s="94"/>
      <c r="BB370" s="80" t="s">
        <v>519</v>
      </c>
      <c r="BC370" s="95"/>
      <c r="BD370" s="92"/>
      <c r="BE370" s="92"/>
      <c r="BF370" s="92"/>
      <c r="BG370" s="92"/>
      <c r="BH370" s="92"/>
      <c r="BI370" s="92"/>
      <c r="BJ370" s="92"/>
      <c r="BK370" s="92"/>
      <c r="BL370" s="92"/>
      <c r="BM370" s="92"/>
      <c r="BN370" s="92"/>
      <c r="BO370" s="92"/>
      <c r="BP370" s="92"/>
      <c r="BQ370" s="92"/>
      <c r="BS370" s="6"/>
      <c r="BT370" s="11"/>
      <c r="BU370" s="6"/>
      <c r="BV370" s="6"/>
    </row>
    <row r="371" spans="1:74" ht="15.75" x14ac:dyDescent="0.25">
      <c r="A371" s="50" t="s">
        <v>449</v>
      </c>
      <c r="B371" s="52"/>
      <c r="C371" s="7" t="s">
        <v>118</v>
      </c>
      <c r="D371" s="7" t="s">
        <v>1209</v>
      </c>
      <c r="E371" s="7"/>
      <c r="F371" s="55"/>
      <c r="G371" s="6"/>
      <c r="H371" s="6"/>
      <c r="I371" s="10" t="s">
        <v>110</v>
      </c>
      <c r="J371" s="11" t="s">
        <v>1307</v>
      </c>
      <c r="K371" s="102" t="s">
        <v>377</v>
      </c>
      <c r="L371" s="98"/>
      <c r="M371" s="98">
        <v>1000</v>
      </c>
      <c r="N371" s="60" t="s">
        <v>1210</v>
      </c>
      <c r="O371" s="88"/>
      <c r="P371" s="60" t="s">
        <v>1308</v>
      </c>
      <c r="Q371" s="60"/>
      <c r="R371" s="60"/>
      <c r="S371" s="89"/>
      <c r="T371" s="106"/>
      <c r="U371" s="88"/>
      <c r="V371" s="91"/>
      <c r="W371" s="12" t="s">
        <v>515</v>
      </c>
      <c r="X371" s="103"/>
      <c r="Y371" s="6" t="s">
        <v>1309</v>
      </c>
      <c r="Z371" s="64" t="s">
        <v>517</v>
      </c>
      <c r="AA371" s="12">
        <v>33</v>
      </c>
      <c r="AB371" s="6" t="s">
        <v>148</v>
      </c>
      <c r="AC371" s="64">
        <v>3060</v>
      </c>
      <c r="AJ371" s="60"/>
      <c r="AK371" s="67" t="s">
        <v>518</v>
      </c>
      <c r="AN371" s="60"/>
      <c r="AO371" s="60"/>
      <c r="AP371" s="60"/>
      <c r="AQ371" s="60"/>
      <c r="AR371" s="72"/>
      <c r="AS371" s="60"/>
      <c r="AT371" s="7"/>
      <c r="AU371" s="7"/>
      <c r="AV371" s="92"/>
      <c r="AW371" s="93"/>
      <c r="AX371" s="77"/>
      <c r="AY371" s="80"/>
      <c r="AZ371" s="94"/>
      <c r="BA371" s="94"/>
      <c r="BB371" s="80" t="s">
        <v>519</v>
      </c>
      <c r="BC371" s="95"/>
      <c r="BD371" s="92"/>
      <c r="BE371" s="92"/>
      <c r="BF371" s="92"/>
      <c r="BG371" s="92"/>
      <c r="BH371" s="92"/>
      <c r="BI371" s="92"/>
      <c r="BJ371" s="92"/>
      <c r="BK371" s="92"/>
      <c r="BL371" s="92"/>
      <c r="BM371" s="92"/>
      <c r="BN371" s="92"/>
      <c r="BO371" s="92"/>
      <c r="BP371" s="92"/>
      <c r="BQ371" s="92"/>
      <c r="BS371" s="6"/>
      <c r="BT371" s="11"/>
      <c r="BU371" s="6"/>
      <c r="BV371" s="6"/>
    </row>
    <row r="372" spans="1:74" ht="15.75" x14ac:dyDescent="0.25">
      <c r="A372" s="50" t="s">
        <v>449</v>
      </c>
      <c r="B372" s="52"/>
      <c r="C372" s="7" t="s">
        <v>118</v>
      </c>
      <c r="D372" s="7" t="s">
        <v>1209</v>
      </c>
      <c r="E372" s="7"/>
      <c r="F372" s="55"/>
      <c r="G372" s="6"/>
      <c r="H372" s="6"/>
      <c r="I372" s="10" t="s">
        <v>110</v>
      </c>
      <c r="J372" s="11" t="s">
        <v>1310</v>
      </c>
      <c r="K372" s="102" t="s">
        <v>377</v>
      </c>
      <c r="L372" s="98"/>
      <c r="M372" s="98">
        <v>1000</v>
      </c>
      <c r="N372" s="60" t="s">
        <v>1210</v>
      </c>
      <c r="O372" s="88"/>
      <c r="P372" s="60" t="s">
        <v>1311</v>
      </c>
      <c r="Q372" s="60"/>
      <c r="R372" s="60"/>
      <c r="S372" s="89"/>
      <c r="T372" s="106"/>
      <c r="U372" s="88"/>
      <c r="V372" s="91"/>
      <c r="W372" s="12" t="s">
        <v>515</v>
      </c>
      <c r="X372" s="103"/>
      <c r="Y372" s="6" t="s">
        <v>1309</v>
      </c>
      <c r="Z372" s="64" t="s">
        <v>522</v>
      </c>
      <c r="AA372" s="12">
        <v>33</v>
      </c>
      <c r="AB372" s="6" t="s">
        <v>148</v>
      </c>
      <c r="AC372" s="64">
        <v>3084</v>
      </c>
      <c r="AJ372" s="60"/>
      <c r="AK372" s="67" t="s">
        <v>450</v>
      </c>
      <c r="AN372" s="60"/>
      <c r="AO372" s="60"/>
      <c r="AP372" s="60"/>
      <c r="AQ372" s="60"/>
      <c r="AR372" s="72"/>
      <c r="AS372" s="60"/>
      <c r="AT372" s="7"/>
      <c r="AU372" s="7"/>
      <c r="AV372" s="92"/>
      <c r="AW372" s="93"/>
      <c r="AX372" s="77"/>
      <c r="AY372" s="80"/>
      <c r="AZ372" s="94"/>
      <c r="BA372" s="94"/>
      <c r="BB372" s="80" t="s">
        <v>519</v>
      </c>
      <c r="BC372" s="95"/>
      <c r="BD372" s="92"/>
      <c r="BE372" s="92"/>
      <c r="BF372" s="92"/>
      <c r="BG372" s="92"/>
      <c r="BH372" s="92"/>
      <c r="BI372" s="92"/>
      <c r="BJ372" s="92"/>
      <c r="BK372" s="92"/>
      <c r="BL372" s="92"/>
      <c r="BM372" s="92"/>
      <c r="BN372" s="92"/>
      <c r="BO372" s="92"/>
      <c r="BP372" s="92"/>
      <c r="BQ372" s="92"/>
      <c r="BS372" s="6"/>
      <c r="BT372" s="11"/>
      <c r="BU372" s="6"/>
      <c r="BV372" s="6"/>
    </row>
    <row r="373" spans="1:74" ht="15.75" x14ac:dyDescent="0.25">
      <c r="A373" s="50" t="s">
        <v>449</v>
      </c>
      <c r="B373" s="52"/>
      <c r="C373" s="7" t="s">
        <v>118</v>
      </c>
      <c r="D373" s="7" t="s">
        <v>1209</v>
      </c>
      <c r="E373" s="7"/>
      <c r="F373" s="55"/>
      <c r="G373" s="6"/>
      <c r="H373" s="6"/>
      <c r="I373" s="10" t="s">
        <v>110</v>
      </c>
      <c r="J373" s="11" t="s">
        <v>1312</v>
      </c>
      <c r="K373" s="102" t="s">
        <v>377</v>
      </c>
      <c r="L373" s="98"/>
      <c r="M373" s="98">
        <v>1000</v>
      </c>
      <c r="N373" s="60" t="s">
        <v>1210</v>
      </c>
      <c r="O373" s="88"/>
      <c r="P373" s="60" t="s">
        <v>1313</v>
      </c>
      <c r="Q373" s="60"/>
      <c r="R373" s="60"/>
      <c r="S373" s="89"/>
      <c r="T373" s="106"/>
      <c r="U373" s="88"/>
      <c r="V373" s="91"/>
      <c r="W373" s="12" t="s">
        <v>515</v>
      </c>
      <c r="X373" s="103"/>
      <c r="Y373" s="6" t="s">
        <v>1314</v>
      </c>
      <c r="Z373" s="64" t="s">
        <v>517</v>
      </c>
      <c r="AA373" s="12">
        <v>34</v>
      </c>
      <c r="AB373" s="6" t="s">
        <v>148</v>
      </c>
      <c r="AC373" s="64">
        <v>3060</v>
      </c>
      <c r="AJ373" s="60"/>
      <c r="AK373" s="67" t="s">
        <v>518</v>
      </c>
      <c r="AN373" s="60"/>
      <c r="AO373" s="60"/>
      <c r="AP373" s="60"/>
      <c r="AQ373" s="60"/>
      <c r="AR373" s="72"/>
      <c r="AS373" s="60"/>
      <c r="AT373" s="7"/>
      <c r="AU373" s="7"/>
      <c r="AV373" s="92"/>
      <c r="AW373" s="93"/>
      <c r="AX373" s="77"/>
      <c r="AY373" s="80"/>
      <c r="AZ373" s="94"/>
      <c r="BA373" s="94"/>
      <c r="BB373" s="80" t="s">
        <v>519</v>
      </c>
      <c r="BC373" s="95"/>
      <c r="BD373" s="92"/>
      <c r="BE373" s="92"/>
      <c r="BF373" s="92"/>
      <c r="BG373" s="92"/>
      <c r="BH373" s="92"/>
      <c r="BI373" s="92"/>
      <c r="BJ373" s="92"/>
      <c r="BK373" s="92"/>
      <c r="BL373" s="92"/>
      <c r="BM373" s="92"/>
      <c r="BN373" s="92"/>
      <c r="BO373" s="92"/>
      <c r="BP373" s="92"/>
      <c r="BQ373" s="92"/>
      <c r="BS373" s="6"/>
      <c r="BT373" s="11"/>
      <c r="BU373" s="6"/>
      <c r="BV373" s="6"/>
    </row>
    <row r="374" spans="1:74" ht="15.75" x14ac:dyDescent="0.25">
      <c r="A374" s="50" t="s">
        <v>449</v>
      </c>
      <c r="B374" s="52"/>
      <c r="C374" s="7" t="s">
        <v>118</v>
      </c>
      <c r="D374" s="7" t="s">
        <v>1209</v>
      </c>
      <c r="E374" s="7"/>
      <c r="F374" s="55"/>
      <c r="G374" s="6"/>
      <c r="H374" s="6"/>
      <c r="I374" s="10" t="s">
        <v>110</v>
      </c>
      <c r="J374" s="11" t="s">
        <v>1315</v>
      </c>
      <c r="K374" s="102" t="s">
        <v>377</v>
      </c>
      <c r="L374" s="98"/>
      <c r="M374" s="98">
        <v>1000</v>
      </c>
      <c r="N374" s="60" t="s">
        <v>1210</v>
      </c>
      <c r="O374" s="88"/>
      <c r="P374" s="60" t="s">
        <v>1316</v>
      </c>
      <c r="Q374" s="60"/>
      <c r="R374" s="60"/>
      <c r="S374" s="89"/>
      <c r="T374" s="106"/>
      <c r="U374" s="88"/>
      <c r="V374" s="91"/>
      <c r="W374" s="12" t="s">
        <v>515</v>
      </c>
      <c r="X374" s="103"/>
      <c r="Y374" s="6" t="s">
        <v>1314</v>
      </c>
      <c r="Z374" s="64" t="s">
        <v>522</v>
      </c>
      <c r="AA374" s="12">
        <v>34</v>
      </c>
      <c r="AB374" s="6" t="s">
        <v>148</v>
      </c>
      <c r="AC374" s="64">
        <v>3084</v>
      </c>
      <c r="AJ374" s="60"/>
      <c r="AK374" s="67" t="s">
        <v>450</v>
      </c>
      <c r="AN374" s="60"/>
      <c r="AO374" s="60"/>
      <c r="AP374" s="60"/>
      <c r="AQ374" s="60"/>
      <c r="AR374" s="72"/>
      <c r="AS374" s="60"/>
      <c r="AT374" s="7"/>
      <c r="AU374" s="7"/>
      <c r="AV374" s="92"/>
      <c r="AW374" s="93"/>
      <c r="AX374" s="77"/>
      <c r="AY374" s="80"/>
      <c r="AZ374" s="94"/>
      <c r="BA374" s="94"/>
      <c r="BB374" s="80" t="s">
        <v>519</v>
      </c>
      <c r="BC374" s="95"/>
      <c r="BD374" s="92"/>
      <c r="BE374" s="92"/>
      <c r="BF374" s="92"/>
      <c r="BG374" s="92"/>
      <c r="BH374" s="92"/>
      <c r="BI374" s="92"/>
      <c r="BJ374" s="92"/>
      <c r="BK374" s="92"/>
      <c r="BL374" s="92"/>
      <c r="BM374" s="92"/>
      <c r="BN374" s="92"/>
      <c r="BO374" s="92"/>
      <c r="BP374" s="92"/>
      <c r="BQ374" s="92"/>
      <c r="BS374" s="6"/>
      <c r="BT374" s="11"/>
      <c r="BU374" s="6"/>
      <c r="BV374" s="6"/>
    </row>
    <row r="375" spans="1:74" ht="15.75" x14ac:dyDescent="0.25">
      <c r="A375" s="50" t="s">
        <v>449</v>
      </c>
      <c r="B375" s="52"/>
      <c r="C375" s="7" t="s">
        <v>118</v>
      </c>
      <c r="D375" s="7" t="s">
        <v>1209</v>
      </c>
      <c r="E375" s="7"/>
      <c r="F375" s="55"/>
      <c r="G375" s="6"/>
      <c r="H375" s="6"/>
      <c r="I375" s="10" t="s">
        <v>110</v>
      </c>
      <c r="J375" s="11" t="s">
        <v>1317</v>
      </c>
      <c r="K375" s="102" t="s">
        <v>377</v>
      </c>
      <c r="L375" s="98"/>
      <c r="M375" s="98">
        <v>1000</v>
      </c>
      <c r="N375" s="60" t="s">
        <v>1210</v>
      </c>
      <c r="O375" s="88"/>
      <c r="P375" s="60" t="s">
        <v>1318</v>
      </c>
      <c r="Q375" s="60"/>
      <c r="R375" s="60"/>
      <c r="S375" s="89"/>
      <c r="T375" s="106"/>
      <c r="U375" s="88"/>
      <c r="V375" s="91"/>
      <c r="W375" s="12" t="s">
        <v>515</v>
      </c>
      <c r="X375" s="103"/>
      <c r="Y375" s="6" t="s">
        <v>1319</v>
      </c>
      <c r="Z375" s="64" t="s">
        <v>517</v>
      </c>
      <c r="AA375" s="12">
        <v>35</v>
      </c>
      <c r="AB375" s="6" t="s">
        <v>148</v>
      </c>
      <c r="AC375" s="64">
        <v>3060</v>
      </c>
      <c r="AJ375" s="60"/>
      <c r="AK375" s="67" t="s">
        <v>518</v>
      </c>
      <c r="AN375" s="60"/>
      <c r="AO375" s="60"/>
      <c r="AP375" s="60"/>
      <c r="AQ375" s="60"/>
      <c r="AR375" s="72"/>
      <c r="AS375" s="60"/>
      <c r="AT375" s="7"/>
      <c r="AU375" s="7"/>
      <c r="AV375" s="92"/>
      <c r="AW375" s="93"/>
      <c r="AX375" s="77"/>
      <c r="AY375" s="80"/>
      <c r="AZ375" s="94"/>
      <c r="BA375" s="94"/>
      <c r="BB375" s="80" t="s">
        <v>519</v>
      </c>
      <c r="BC375" s="95"/>
      <c r="BD375" s="92"/>
      <c r="BE375" s="92"/>
      <c r="BF375" s="92"/>
      <c r="BG375" s="92"/>
      <c r="BH375" s="92"/>
      <c r="BI375" s="92"/>
      <c r="BJ375" s="92"/>
      <c r="BK375" s="92"/>
      <c r="BL375" s="92"/>
      <c r="BM375" s="92"/>
      <c r="BN375" s="92"/>
      <c r="BO375" s="92"/>
      <c r="BP375" s="92"/>
      <c r="BQ375" s="92"/>
      <c r="BS375" s="6"/>
      <c r="BT375" s="11"/>
      <c r="BU375" s="6"/>
      <c r="BV375" s="6"/>
    </row>
    <row r="376" spans="1:74" ht="15.75" x14ac:dyDescent="0.25">
      <c r="A376" s="50" t="s">
        <v>449</v>
      </c>
      <c r="B376" s="52"/>
      <c r="C376" s="7" t="s">
        <v>118</v>
      </c>
      <c r="D376" s="7" t="s">
        <v>1209</v>
      </c>
      <c r="E376" s="7"/>
      <c r="F376" s="55"/>
      <c r="G376" s="6"/>
      <c r="H376" s="6"/>
      <c r="I376" s="10" t="s">
        <v>110</v>
      </c>
      <c r="J376" s="11" t="s">
        <v>1320</v>
      </c>
      <c r="K376" s="102" t="s">
        <v>377</v>
      </c>
      <c r="L376" s="98"/>
      <c r="M376" s="98">
        <v>1000</v>
      </c>
      <c r="N376" s="60" t="s">
        <v>1210</v>
      </c>
      <c r="O376" s="88"/>
      <c r="P376" s="60" t="s">
        <v>1321</v>
      </c>
      <c r="Q376" s="60"/>
      <c r="R376" s="60"/>
      <c r="S376" s="89"/>
      <c r="T376" s="106"/>
      <c r="U376" s="88"/>
      <c r="V376" s="91"/>
      <c r="W376" s="12" t="s">
        <v>515</v>
      </c>
      <c r="X376" s="103"/>
      <c r="Y376" s="6" t="s">
        <v>1319</v>
      </c>
      <c r="Z376" s="64" t="s">
        <v>522</v>
      </c>
      <c r="AA376" s="12">
        <v>35</v>
      </c>
      <c r="AB376" s="6" t="s">
        <v>148</v>
      </c>
      <c r="AC376" s="64">
        <v>3084</v>
      </c>
      <c r="AJ376" s="60"/>
      <c r="AK376" s="67" t="s">
        <v>450</v>
      </c>
      <c r="AN376" s="60"/>
      <c r="AO376" s="60"/>
      <c r="AP376" s="60"/>
      <c r="AQ376" s="60"/>
      <c r="AR376" s="72"/>
      <c r="AS376" s="60"/>
      <c r="AT376" s="7"/>
      <c r="AU376" s="7"/>
      <c r="AV376" s="92"/>
      <c r="AW376" s="93"/>
      <c r="AX376" s="77"/>
      <c r="AY376" s="80"/>
      <c r="AZ376" s="94"/>
      <c r="BA376" s="94"/>
      <c r="BB376" s="80" t="s">
        <v>519</v>
      </c>
      <c r="BC376" s="95"/>
      <c r="BD376" s="92"/>
      <c r="BE376" s="92"/>
      <c r="BF376" s="92"/>
      <c r="BG376" s="92"/>
      <c r="BH376" s="92"/>
      <c r="BI376" s="92"/>
      <c r="BJ376" s="92"/>
      <c r="BK376" s="92"/>
      <c r="BL376" s="92"/>
      <c r="BM376" s="92"/>
      <c r="BN376" s="92"/>
      <c r="BO376" s="92"/>
      <c r="BP376" s="92"/>
      <c r="BQ376" s="92"/>
      <c r="BS376" s="6"/>
      <c r="BT376" s="11"/>
      <c r="BU376" s="6"/>
      <c r="BV376" s="6"/>
    </row>
    <row r="377" spans="1:74" ht="15.75" x14ac:dyDescent="0.25">
      <c r="A377" s="50" t="s">
        <v>449</v>
      </c>
      <c r="B377" s="52"/>
      <c r="C377" s="7" t="s">
        <v>118</v>
      </c>
      <c r="D377" s="7" t="s">
        <v>1209</v>
      </c>
      <c r="E377" s="7"/>
      <c r="F377" s="55"/>
      <c r="G377" s="6"/>
      <c r="H377" s="6"/>
      <c r="I377" s="10" t="s">
        <v>110</v>
      </c>
      <c r="J377" s="11" t="s">
        <v>1201</v>
      </c>
      <c r="K377" s="102" t="s">
        <v>377</v>
      </c>
      <c r="L377" s="98"/>
      <c r="M377" s="98">
        <v>1000</v>
      </c>
      <c r="N377" s="60" t="s">
        <v>1210</v>
      </c>
      <c r="O377" s="88"/>
      <c r="P377" s="60" t="s">
        <v>1322</v>
      </c>
      <c r="Q377" s="60"/>
      <c r="R377" s="60"/>
      <c r="S377" s="89"/>
      <c r="T377" s="106"/>
      <c r="U377" s="88"/>
      <c r="V377" s="91"/>
      <c r="W377" s="12" t="s">
        <v>515</v>
      </c>
      <c r="X377" s="103"/>
      <c r="Y377" s="6" t="s">
        <v>1323</v>
      </c>
      <c r="Z377" s="64" t="s">
        <v>517</v>
      </c>
      <c r="AA377" s="12">
        <v>36</v>
      </c>
      <c r="AB377" s="6" t="s">
        <v>148</v>
      </c>
      <c r="AC377" s="64">
        <v>3060</v>
      </c>
      <c r="AJ377" s="60"/>
      <c r="AK377" s="67" t="s">
        <v>518</v>
      </c>
      <c r="AN377" s="60"/>
      <c r="AO377" s="60"/>
      <c r="AP377" s="60"/>
      <c r="AQ377" s="60"/>
      <c r="AR377" s="72"/>
      <c r="AS377" s="60"/>
      <c r="AT377" s="7"/>
      <c r="AU377" s="7"/>
      <c r="AV377" s="92"/>
      <c r="AW377" s="93"/>
      <c r="AX377" s="77"/>
      <c r="AY377" s="80"/>
      <c r="AZ377" s="94"/>
      <c r="BA377" s="94"/>
      <c r="BB377" s="80" t="s">
        <v>519</v>
      </c>
      <c r="BC377" s="95"/>
      <c r="BD377" s="92"/>
      <c r="BE377" s="92"/>
      <c r="BF377" s="92"/>
      <c r="BG377" s="92"/>
      <c r="BH377" s="92"/>
      <c r="BI377" s="92"/>
      <c r="BJ377" s="92"/>
      <c r="BK377" s="92"/>
      <c r="BL377" s="92"/>
      <c r="BM377" s="92"/>
      <c r="BN377" s="92"/>
      <c r="BO377" s="92"/>
      <c r="BP377" s="92"/>
      <c r="BQ377" s="92"/>
      <c r="BS377" s="6"/>
      <c r="BT377" s="11"/>
      <c r="BU377" s="6"/>
      <c r="BV377" s="6"/>
    </row>
    <row r="378" spans="1:74" ht="15.75" x14ac:dyDescent="0.25">
      <c r="A378" s="50" t="s">
        <v>449</v>
      </c>
      <c r="B378" s="52"/>
      <c r="C378" s="7" t="s">
        <v>118</v>
      </c>
      <c r="D378" s="7" t="s">
        <v>1209</v>
      </c>
      <c r="E378" s="7"/>
      <c r="F378" s="55"/>
      <c r="G378" s="6"/>
      <c r="H378" s="6"/>
      <c r="I378" s="10" t="s">
        <v>110</v>
      </c>
      <c r="J378" s="11" t="s">
        <v>1204</v>
      </c>
      <c r="K378" s="102" t="s">
        <v>377</v>
      </c>
      <c r="L378" s="98"/>
      <c r="M378" s="98">
        <v>1000</v>
      </c>
      <c r="N378" s="60" t="s">
        <v>1210</v>
      </c>
      <c r="O378" s="88"/>
      <c r="P378" s="60" t="s">
        <v>1324</v>
      </c>
      <c r="Q378" s="60"/>
      <c r="R378" s="60"/>
      <c r="S378" s="89"/>
      <c r="T378" s="106"/>
      <c r="U378" s="88"/>
      <c r="V378" s="91"/>
      <c r="W378" s="12" t="s">
        <v>515</v>
      </c>
      <c r="X378" s="103"/>
      <c r="Y378" s="6" t="s">
        <v>1323</v>
      </c>
      <c r="Z378" s="64" t="s">
        <v>522</v>
      </c>
      <c r="AA378" s="12">
        <v>36</v>
      </c>
      <c r="AB378" s="6" t="s">
        <v>148</v>
      </c>
      <c r="AC378" s="64">
        <v>3084</v>
      </c>
      <c r="AJ378" s="60"/>
      <c r="AK378" s="67" t="s">
        <v>450</v>
      </c>
      <c r="AN378" s="60"/>
      <c r="AO378" s="60"/>
      <c r="AP378" s="60"/>
      <c r="AQ378" s="60"/>
      <c r="AR378" s="72"/>
      <c r="AS378" s="60"/>
      <c r="AT378" s="7"/>
      <c r="AU378" s="7"/>
      <c r="AV378" s="92"/>
      <c r="AW378" s="93"/>
      <c r="AX378" s="77"/>
      <c r="AY378" s="80"/>
      <c r="AZ378" s="94"/>
      <c r="BA378" s="94"/>
      <c r="BB378" s="80" t="s">
        <v>519</v>
      </c>
      <c r="BC378" s="95"/>
      <c r="BD378" s="92"/>
      <c r="BE378" s="92"/>
      <c r="BF378" s="92"/>
      <c r="BG378" s="92"/>
      <c r="BH378" s="92"/>
      <c r="BI378" s="92"/>
      <c r="BJ378" s="92"/>
      <c r="BK378" s="92"/>
      <c r="BL378" s="92"/>
      <c r="BM378" s="92"/>
      <c r="BN378" s="92"/>
      <c r="BO378" s="92"/>
      <c r="BP378" s="92"/>
      <c r="BQ378" s="92"/>
      <c r="BS378" s="6"/>
      <c r="BT378" s="11"/>
      <c r="BU378" s="6"/>
      <c r="BV378" s="6"/>
    </row>
    <row r="379" spans="1:74" ht="15.75" x14ac:dyDescent="0.25">
      <c r="A379" s="50" t="s">
        <v>449</v>
      </c>
      <c r="B379" s="52"/>
      <c r="C379" s="7" t="s">
        <v>118</v>
      </c>
      <c r="D379" s="7" t="s">
        <v>1209</v>
      </c>
      <c r="E379" s="7"/>
      <c r="F379" s="55"/>
      <c r="G379" s="6"/>
      <c r="H379" s="6"/>
      <c r="I379" s="10" t="s">
        <v>110</v>
      </c>
      <c r="J379" s="11" t="s">
        <v>1325</v>
      </c>
      <c r="K379" s="102" t="s">
        <v>377</v>
      </c>
      <c r="L379" s="98"/>
      <c r="M379" s="98">
        <v>1000</v>
      </c>
      <c r="N379" s="60" t="s">
        <v>1210</v>
      </c>
      <c r="O379" s="88"/>
      <c r="P379" s="60" t="s">
        <v>1326</v>
      </c>
      <c r="Q379" s="60"/>
      <c r="R379" s="60"/>
      <c r="S379" s="89"/>
      <c r="T379" s="106"/>
      <c r="U379" s="88"/>
      <c r="V379" s="91"/>
      <c r="W379" s="12" t="s">
        <v>515</v>
      </c>
      <c r="X379" s="103"/>
      <c r="Y379" s="6" t="s">
        <v>1327</v>
      </c>
      <c r="Z379" s="64" t="s">
        <v>517</v>
      </c>
      <c r="AA379" s="12">
        <v>37</v>
      </c>
      <c r="AB379" s="6" t="s">
        <v>148</v>
      </c>
      <c r="AC379" s="64">
        <v>3060</v>
      </c>
      <c r="AJ379" s="60"/>
      <c r="AK379" s="67" t="s">
        <v>518</v>
      </c>
      <c r="AN379" s="60"/>
      <c r="AO379" s="60"/>
      <c r="AP379" s="60"/>
      <c r="AQ379" s="60"/>
      <c r="AR379" s="72"/>
      <c r="AS379" s="60"/>
      <c r="AT379" s="7"/>
      <c r="AU379" s="7"/>
      <c r="AV379" s="92"/>
      <c r="AW379" s="93"/>
      <c r="AX379" s="77"/>
      <c r="AY379" s="80"/>
      <c r="AZ379" s="94"/>
      <c r="BA379" s="94"/>
      <c r="BB379" s="80" t="s">
        <v>519</v>
      </c>
      <c r="BC379" s="95"/>
      <c r="BD379" s="92"/>
      <c r="BE379" s="92"/>
      <c r="BF379" s="92"/>
      <c r="BG379" s="92"/>
      <c r="BH379" s="92"/>
      <c r="BI379" s="92"/>
      <c r="BJ379" s="92"/>
      <c r="BK379" s="92"/>
      <c r="BL379" s="92"/>
      <c r="BM379" s="92"/>
      <c r="BN379" s="92"/>
      <c r="BO379" s="92"/>
      <c r="BP379" s="92"/>
      <c r="BQ379" s="92"/>
      <c r="BS379" s="6"/>
      <c r="BT379" s="11"/>
      <c r="BU379" s="6"/>
      <c r="BV379" s="6"/>
    </row>
    <row r="380" spans="1:74" ht="15.75" x14ac:dyDescent="0.25">
      <c r="A380" s="50" t="s">
        <v>449</v>
      </c>
      <c r="B380" s="52"/>
      <c r="C380" s="7" t="s">
        <v>118</v>
      </c>
      <c r="D380" s="7" t="s">
        <v>1209</v>
      </c>
      <c r="E380" s="7"/>
      <c r="F380" s="55"/>
      <c r="G380" s="6"/>
      <c r="H380" s="6"/>
      <c r="I380" s="10" t="s">
        <v>110</v>
      </c>
      <c r="J380" s="11" t="s">
        <v>1328</v>
      </c>
      <c r="K380" s="102" t="s">
        <v>377</v>
      </c>
      <c r="L380" s="98"/>
      <c r="M380" s="98">
        <v>1000</v>
      </c>
      <c r="N380" s="60" t="s">
        <v>1210</v>
      </c>
      <c r="O380" s="88"/>
      <c r="P380" s="60" t="s">
        <v>1329</v>
      </c>
      <c r="Q380" s="60"/>
      <c r="R380" s="60"/>
      <c r="S380" s="89"/>
      <c r="T380" s="106"/>
      <c r="U380" s="88"/>
      <c r="V380" s="91"/>
      <c r="W380" s="12" t="s">
        <v>515</v>
      </c>
      <c r="X380" s="103"/>
      <c r="Y380" s="6" t="s">
        <v>1327</v>
      </c>
      <c r="Z380" s="64" t="s">
        <v>522</v>
      </c>
      <c r="AA380" s="12">
        <v>37</v>
      </c>
      <c r="AB380" s="6" t="s">
        <v>148</v>
      </c>
      <c r="AC380" s="64">
        <v>3084</v>
      </c>
      <c r="AJ380" s="60"/>
      <c r="AK380" s="67" t="s">
        <v>450</v>
      </c>
      <c r="AN380" s="60"/>
      <c r="AO380" s="60"/>
      <c r="AP380" s="60"/>
      <c r="AQ380" s="60"/>
      <c r="AR380" s="72"/>
      <c r="AS380" s="60"/>
      <c r="AT380" s="7"/>
      <c r="AU380" s="7"/>
      <c r="AV380" s="92"/>
      <c r="AW380" s="93"/>
      <c r="AX380" s="77"/>
      <c r="AY380" s="80"/>
      <c r="AZ380" s="94"/>
      <c r="BA380" s="94"/>
      <c r="BB380" s="80" t="s">
        <v>519</v>
      </c>
      <c r="BC380" s="95"/>
      <c r="BD380" s="92"/>
      <c r="BE380" s="92"/>
      <c r="BF380" s="92"/>
      <c r="BG380" s="92"/>
      <c r="BH380" s="92"/>
      <c r="BI380" s="92"/>
      <c r="BJ380" s="92"/>
      <c r="BK380" s="92"/>
      <c r="BL380" s="92"/>
      <c r="BM380" s="92"/>
      <c r="BN380" s="92"/>
      <c r="BO380" s="92"/>
      <c r="BP380" s="92"/>
      <c r="BQ380" s="92"/>
      <c r="BS380" s="6"/>
      <c r="BT380" s="11"/>
      <c r="BU380" s="6"/>
      <c r="BV380" s="6"/>
    </row>
    <row r="381" spans="1:74" ht="15.75" x14ac:dyDescent="0.25">
      <c r="A381" s="50" t="s">
        <v>449</v>
      </c>
      <c r="B381" s="52"/>
      <c r="C381" s="7" t="s">
        <v>118</v>
      </c>
      <c r="D381" s="7" t="s">
        <v>1209</v>
      </c>
      <c r="E381" s="7"/>
      <c r="F381" s="55"/>
      <c r="G381" s="6"/>
      <c r="H381" s="6"/>
      <c r="I381" s="10" t="s">
        <v>110</v>
      </c>
      <c r="J381" s="11" t="s">
        <v>1330</v>
      </c>
      <c r="K381" s="102" t="s">
        <v>377</v>
      </c>
      <c r="L381" s="98"/>
      <c r="M381" s="98">
        <v>1000</v>
      </c>
      <c r="N381" s="60" t="s">
        <v>1210</v>
      </c>
      <c r="O381" s="88"/>
      <c r="P381" s="60" t="s">
        <v>1331</v>
      </c>
      <c r="Q381" s="60"/>
      <c r="R381" s="60"/>
      <c r="S381" s="89"/>
      <c r="T381" s="106"/>
      <c r="U381" s="88"/>
      <c r="V381" s="91"/>
      <c r="W381" s="12" t="s">
        <v>515</v>
      </c>
      <c r="X381" s="103"/>
      <c r="Y381" s="6" t="s">
        <v>1332</v>
      </c>
      <c r="Z381" s="64" t="s">
        <v>517</v>
      </c>
      <c r="AA381" s="12">
        <v>38</v>
      </c>
      <c r="AB381" s="6" t="s">
        <v>148</v>
      </c>
      <c r="AC381" s="64">
        <v>3060</v>
      </c>
      <c r="AJ381" s="60"/>
      <c r="AK381" s="67" t="s">
        <v>518</v>
      </c>
      <c r="AN381" s="60"/>
      <c r="AO381" s="60"/>
      <c r="AP381" s="60"/>
      <c r="AQ381" s="60"/>
      <c r="AR381" s="72"/>
      <c r="AS381" s="60"/>
      <c r="AT381" s="7"/>
      <c r="AU381" s="7"/>
      <c r="AV381" s="92"/>
      <c r="AW381" s="93"/>
      <c r="AX381" s="77"/>
      <c r="AY381" s="80"/>
      <c r="AZ381" s="94"/>
      <c r="BA381" s="94"/>
      <c r="BB381" s="80" t="s">
        <v>519</v>
      </c>
      <c r="BC381" s="95"/>
      <c r="BD381" s="92"/>
      <c r="BE381" s="92"/>
      <c r="BF381" s="92"/>
      <c r="BG381" s="92"/>
      <c r="BH381" s="92"/>
      <c r="BI381" s="92"/>
      <c r="BJ381" s="92"/>
      <c r="BK381" s="92"/>
      <c r="BL381" s="92"/>
      <c r="BM381" s="92"/>
      <c r="BN381" s="92"/>
      <c r="BO381" s="92"/>
      <c r="BP381" s="92"/>
      <c r="BQ381" s="92"/>
      <c r="BS381" s="6"/>
      <c r="BT381" s="11"/>
      <c r="BU381" s="6"/>
      <c r="BV381" s="6"/>
    </row>
    <row r="382" spans="1:74" ht="15.75" x14ac:dyDescent="0.25">
      <c r="A382" s="50" t="s">
        <v>449</v>
      </c>
      <c r="B382" s="52"/>
      <c r="C382" s="7" t="s">
        <v>118</v>
      </c>
      <c r="D382" s="7" t="s">
        <v>1209</v>
      </c>
      <c r="E382" s="7"/>
      <c r="F382" s="55"/>
      <c r="G382" s="6"/>
      <c r="H382" s="6"/>
      <c r="I382" s="10" t="s">
        <v>110</v>
      </c>
      <c r="J382" s="11" t="s">
        <v>1333</v>
      </c>
      <c r="K382" s="102" t="s">
        <v>377</v>
      </c>
      <c r="L382" s="98"/>
      <c r="M382" s="98">
        <v>1000</v>
      </c>
      <c r="N382" s="60" t="s">
        <v>1210</v>
      </c>
      <c r="O382" s="88"/>
      <c r="P382" s="60" t="s">
        <v>1334</v>
      </c>
      <c r="Q382" s="60"/>
      <c r="R382" s="60"/>
      <c r="S382" s="89"/>
      <c r="T382" s="106"/>
      <c r="U382" s="88"/>
      <c r="V382" s="91"/>
      <c r="W382" s="12" t="s">
        <v>515</v>
      </c>
      <c r="X382" s="103"/>
      <c r="Y382" s="6" t="s">
        <v>1332</v>
      </c>
      <c r="Z382" s="64" t="s">
        <v>522</v>
      </c>
      <c r="AA382" s="12">
        <v>38</v>
      </c>
      <c r="AB382" s="6" t="s">
        <v>148</v>
      </c>
      <c r="AC382" s="64">
        <v>3084</v>
      </c>
      <c r="AJ382" s="60"/>
      <c r="AK382" s="67" t="s">
        <v>450</v>
      </c>
      <c r="AN382" s="60"/>
      <c r="AO382" s="60"/>
      <c r="AP382" s="60"/>
      <c r="AQ382" s="60"/>
      <c r="AR382" s="72"/>
      <c r="AS382" s="60"/>
      <c r="AT382" s="7"/>
      <c r="AU382" s="7"/>
      <c r="AV382" s="92"/>
      <c r="AW382" s="93"/>
      <c r="AX382" s="77"/>
      <c r="AY382" s="80"/>
      <c r="AZ382" s="94"/>
      <c r="BA382" s="94"/>
      <c r="BB382" s="80" t="s">
        <v>519</v>
      </c>
      <c r="BC382" s="95"/>
      <c r="BD382" s="92"/>
      <c r="BE382" s="92"/>
      <c r="BF382" s="92"/>
      <c r="BG382" s="92"/>
      <c r="BH382" s="92"/>
      <c r="BI382" s="92"/>
      <c r="BJ382" s="92"/>
      <c r="BK382" s="92"/>
      <c r="BL382" s="92"/>
      <c r="BM382" s="92"/>
      <c r="BN382" s="92"/>
      <c r="BO382" s="92"/>
      <c r="BP382" s="92"/>
      <c r="BQ382" s="92"/>
      <c r="BS382" s="6"/>
      <c r="BT382" s="11"/>
      <c r="BU382" s="6"/>
      <c r="BV382" s="6"/>
    </row>
    <row r="383" spans="1:74" ht="15.75" x14ac:dyDescent="0.25">
      <c r="A383" s="50" t="s">
        <v>449</v>
      </c>
      <c r="B383" s="52"/>
      <c r="C383" s="7" t="s">
        <v>118</v>
      </c>
      <c r="D383" s="7" t="s">
        <v>1209</v>
      </c>
      <c r="E383" s="7"/>
      <c r="F383" s="55"/>
      <c r="G383" s="6"/>
      <c r="H383" s="6"/>
      <c r="I383" s="10" t="s">
        <v>110</v>
      </c>
      <c r="J383" s="11" t="s">
        <v>1335</v>
      </c>
      <c r="K383" s="102" t="s">
        <v>377</v>
      </c>
      <c r="L383" s="98"/>
      <c r="M383" s="98">
        <v>1000</v>
      </c>
      <c r="N383" s="60" t="s">
        <v>1210</v>
      </c>
      <c r="O383" s="88"/>
      <c r="P383" s="60" t="s">
        <v>1336</v>
      </c>
      <c r="Q383" s="60"/>
      <c r="R383" s="60"/>
      <c r="S383" s="89"/>
      <c r="T383" s="106"/>
      <c r="U383" s="88"/>
      <c r="V383" s="91"/>
      <c r="W383" s="12" t="s">
        <v>515</v>
      </c>
      <c r="X383" s="103"/>
      <c r="Y383" s="6" t="s">
        <v>1337</v>
      </c>
      <c r="Z383" s="64" t="s">
        <v>517</v>
      </c>
      <c r="AA383" s="12">
        <v>39</v>
      </c>
      <c r="AB383" s="6" t="s">
        <v>148</v>
      </c>
      <c r="AC383" s="64">
        <v>3060</v>
      </c>
      <c r="AJ383" s="60"/>
      <c r="AK383" s="67" t="s">
        <v>518</v>
      </c>
      <c r="AN383" s="60"/>
      <c r="AO383" s="60"/>
      <c r="AP383" s="60"/>
      <c r="AQ383" s="60"/>
      <c r="AR383" s="72"/>
      <c r="AS383" s="60"/>
      <c r="AT383" s="7"/>
      <c r="AU383" s="7"/>
      <c r="AV383" s="92"/>
      <c r="AW383" s="93"/>
      <c r="AX383" s="77"/>
      <c r="AY383" s="80"/>
      <c r="AZ383" s="94"/>
      <c r="BA383" s="94"/>
      <c r="BB383" s="80" t="s">
        <v>519</v>
      </c>
      <c r="BC383" s="95"/>
      <c r="BD383" s="92"/>
      <c r="BE383" s="92"/>
      <c r="BF383" s="92"/>
      <c r="BG383" s="92"/>
      <c r="BH383" s="92"/>
      <c r="BI383" s="92"/>
      <c r="BJ383" s="92"/>
      <c r="BK383" s="92"/>
      <c r="BL383" s="92"/>
      <c r="BM383" s="92"/>
      <c r="BN383" s="92"/>
      <c r="BO383" s="92"/>
      <c r="BP383" s="92"/>
      <c r="BQ383" s="92"/>
      <c r="BS383" s="6"/>
      <c r="BT383" s="11"/>
      <c r="BU383" s="6"/>
      <c r="BV383" s="6"/>
    </row>
    <row r="384" spans="1:74" ht="15.75" x14ac:dyDescent="0.25">
      <c r="A384" s="50" t="s">
        <v>449</v>
      </c>
      <c r="B384" s="52"/>
      <c r="C384" s="7" t="s">
        <v>118</v>
      </c>
      <c r="D384" s="7" t="s">
        <v>1209</v>
      </c>
      <c r="E384" s="7"/>
      <c r="F384" s="55"/>
      <c r="G384" s="6"/>
      <c r="H384" s="6"/>
      <c r="I384" s="10" t="s">
        <v>110</v>
      </c>
      <c r="J384" s="11" t="s">
        <v>1338</v>
      </c>
      <c r="K384" s="102" t="s">
        <v>377</v>
      </c>
      <c r="L384" s="98"/>
      <c r="M384" s="98">
        <v>1000</v>
      </c>
      <c r="N384" s="60" t="s">
        <v>1210</v>
      </c>
      <c r="O384" s="88"/>
      <c r="P384" s="60" t="s">
        <v>1339</v>
      </c>
      <c r="Q384" s="60"/>
      <c r="R384" s="60"/>
      <c r="S384" s="89"/>
      <c r="T384" s="106"/>
      <c r="U384" s="88"/>
      <c r="V384" s="91"/>
      <c r="W384" s="12" t="s">
        <v>515</v>
      </c>
      <c r="X384" s="103"/>
      <c r="Y384" s="6" t="s">
        <v>1337</v>
      </c>
      <c r="Z384" s="64" t="s">
        <v>522</v>
      </c>
      <c r="AA384" s="12">
        <v>39</v>
      </c>
      <c r="AB384" s="6" t="s">
        <v>148</v>
      </c>
      <c r="AC384" s="64">
        <v>3084</v>
      </c>
      <c r="AJ384" s="60"/>
      <c r="AK384" s="67" t="s">
        <v>450</v>
      </c>
      <c r="AN384" s="60"/>
      <c r="AO384" s="60"/>
      <c r="AP384" s="60"/>
      <c r="AQ384" s="60"/>
      <c r="AR384" s="72"/>
      <c r="AS384" s="60"/>
      <c r="AT384" s="7"/>
      <c r="AU384" s="7"/>
      <c r="AV384" s="92"/>
      <c r="AW384" s="93"/>
      <c r="AX384" s="77"/>
      <c r="AY384" s="80"/>
      <c r="AZ384" s="94"/>
      <c r="BA384" s="94"/>
      <c r="BB384" s="80" t="s">
        <v>519</v>
      </c>
      <c r="BC384" s="95"/>
      <c r="BD384" s="92"/>
      <c r="BE384" s="92"/>
      <c r="BF384" s="92"/>
      <c r="BG384" s="92"/>
      <c r="BH384" s="92"/>
      <c r="BI384" s="92"/>
      <c r="BJ384" s="92"/>
      <c r="BK384" s="92"/>
      <c r="BL384" s="92"/>
      <c r="BM384" s="92"/>
      <c r="BN384" s="92"/>
      <c r="BO384" s="92"/>
      <c r="BP384" s="92"/>
      <c r="BQ384" s="92"/>
      <c r="BS384" s="6"/>
      <c r="BT384" s="11"/>
      <c r="BU384" s="6"/>
      <c r="BV384" s="6"/>
    </row>
    <row r="385" spans="1:74" ht="15.75" x14ac:dyDescent="0.25">
      <c r="A385" s="50" t="s">
        <v>449</v>
      </c>
      <c r="B385" s="52"/>
      <c r="C385" s="7" t="s">
        <v>118</v>
      </c>
      <c r="D385" s="7" t="s">
        <v>1209</v>
      </c>
      <c r="E385" s="7"/>
      <c r="F385" s="55"/>
      <c r="G385" s="6"/>
      <c r="H385" s="6"/>
      <c r="I385" s="10" t="s">
        <v>110</v>
      </c>
      <c r="J385" s="11" t="s">
        <v>1340</v>
      </c>
      <c r="K385" s="102" t="s">
        <v>377</v>
      </c>
      <c r="L385" s="98"/>
      <c r="M385" s="98">
        <v>1000</v>
      </c>
      <c r="N385" s="60" t="s">
        <v>1210</v>
      </c>
      <c r="O385" s="88"/>
      <c r="P385" s="60" t="s">
        <v>1341</v>
      </c>
      <c r="Q385" s="60"/>
      <c r="R385" s="60"/>
      <c r="S385" s="89"/>
      <c r="T385" s="106"/>
      <c r="U385" s="88"/>
      <c r="V385" s="91"/>
      <c r="W385" s="12" t="s">
        <v>515</v>
      </c>
      <c r="X385" s="103"/>
      <c r="Y385" s="6" t="s">
        <v>1342</v>
      </c>
      <c r="Z385" s="64" t="s">
        <v>517</v>
      </c>
      <c r="AA385" s="12">
        <v>40</v>
      </c>
      <c r="AB385" s="6" t="s">
        <v>148</v>
      </c>
      <c r="AC385" s="64">
        <v>3060</v>
      </c>
      <c r="AJ385" s="60"/>
      <c r="AK385" s="67" t="s">
        <v>518</v>
      </c>
      <c r="AN385" s="60"/>
      <c r="AO385" s="60"/>
      <c r="AP385" s="60"/>
      <c r="AQ385" s="60"/>
      <c r="AR385" s="72"/>
      <c r="AS385" s="60"/>
      <c r="AT385" s="7"/>
      <c r="AU385" s="7"/>
      <c r="AV385" s="92"/>
      <c r="AW385" s="93"/>
      <c r="AX385" s="77"/>
      <c r="AY385" s="80"/>
      <c r="AZ385" s="94"/>
      <c r="BA385" s="94"/>
      <c r="BB385" s="80" t="s">
        <v>519</v>
      </c>
      <c r="BC385" s="95"/>
      <c r="BD385" s="92"/>
      <c r="BE385" s="92"/>
      <c r="BF385" s="92"/>
      <c r="BG385" s="92"/>
      <c r="BH385" s="92"/>
      <c r="BI385" s="92"/>
      <c r="BJ385" s="92"/>
      <c r="BK385" s="92"/>
      <c r="BL385" s="92"/>
      <c r="BM385" s="92"/>
      <c r="BN385" s="92"/>
      <c r="BO385" s="92"/>
      <c r="BP385" s="92"/>
      <c r="BQ385" s="92"/>
      <c r="BS385" s="6"/>
      <c r="BT385" s="11"/>
      <c r="BU385" s="6"/>
      <c r="BV385" s="6"/>
    </row>
    <row r="386" spans="1:74" ht="15.75" x14ac:dyDescent="0.25">
      <c r="A386" s="50" t="s">
        <v>449</v>
      </c>
      <c r="B386" s="52"/>
      <c r="C386" s="7" t="s">
        <v>118</v>
      </c>
      <c r="D386" s="7" t="s">
        <v>1209</v>
      </c>
      <c r="E386" s="7"/>
      <c r="F386" s="55"/>
      <c r="G386" s="6"/>
      <c r="H386" s="6"/>
      <c r="I386" s="10" t="s">
        <v>110</v>
      </c>
      <c r="J386" s="11" t="s">
        <v>1343</v>
      </c>
      <c r="K386" s="102" t="s">
        <v>377</v>
      </c>
      <c r="L386" s="98"/>
      <c r="M386" s="98">
        <v>1000</v>
      </c>
      <c r="N386" s="60" t="s">
        <v>1210</v>
      </c>
      <c r="O386" s="88"/>
      <c r="P386" s="60" t="s">
        <v>1344</v>
      </c>
      <c r="Q386" s="60"/>
      <c r="R386" s="60"/>
      <c r="S386" s="89"/>
      <c r="T386" s="106"/>
      <c r="U386" s="88"/>
      <c r="V386" s="91"/>
      <c r="W386" s="12" t="s">
        <v>515</v>
      </c>
      <c r="X386" s="103"/>
      <c r="Y386" s="6" t="s">
        <v>1342</v>
      </c>
      <c r="Z386" s="64" t="s">
        <v>522</v>
      </c>
      <c r="AA386" s="12">
        <v>40</v>
      </c>
      <c r="AB386" s="6" t="s">
        <v>148</v>
      </c>
      <c r="AC386" s="64">
        <v>3084</v>
      </c>
      <c r="AJ386" s="60"/>
      <c r="AK386" s="67" t="s">
        <v>450</v>
      </c>
      <c r="AN386" s="60"/>
      <c r="AO386" s="60"/>
      <c r="AP386" s="60"/>
      <c r="AQ386" s="60"/>
      <c r="AR386" s="72"/>
      <c r="AS386" s="60"/>
      <c r="AT386" s="7"/>
      <c r="AU386" s="7"/>
      <c r="AV386" s="92"/>
      <c r="AW386" s="93"/>
      <c r="AX386" s="77"/>
      <c r="AY386" s="80"/>
      <c r="AZ386" s="94"/>
      <c r="BA386" s="94"/>
      <c r="BB386" s="80" t="s">
        <v>519</v>
      </c>
      <c r="BC386" s="95"/>
      <c r="BD386" s="92"/>
      <c r="BE386" s="92"/>
      <c r="BF386" s="92"/>
      <c r="BG386" s="92"/>
      <c r="BH386" s="92"/>
      <c r="BI386" s="92"/>
      <c r="BJ386" s="92"/>
      <c r="BK386" s="92"/>
      <c r="BL386" s="92"/>
      <c r="BM386" s="92"/>
      <c r="BN386" s="92"/>
      <c r="BO386" s="92"/>
      <c r="BP386" s="92"/>
      <c r="BQ386" s="92"/>
      <c r="BS386" s="6"/>
      <c r="BT386" s="11"/>
      <c r="BU386" s="6"/>
      <c r="BV386" s="6"/>
    </row>
    <row r="387" spans="1:74" ht="15.75" x14ac:dyDescent="0.25">
      <c r="A387" s="50" t="s">
        <v>449</v>
      </c>
      <c r="B387" s="52"/>
      <c r="C387" s="7" t="s">
        <v>118</v>
      </c>
      <c r="D387" s="7" t="s">
        <v>1209</v>
      </c>
      <c r="E387" s="7"/>
      <c r="F387" s="55"/>
      <c r="G387" s="6"/>
      <c r="H387" s="6"/>
      <c r="I387" s="10" t="s">
        <v>110</v>
      </c>
      <c r="J387" s="11" t="s">
        <v>1345</v>
      </c>
      <c r="K387" s="102" t="s">
        <v>377</v>
      </c>
      <c r="L387" s="98"/>
      <c r="M387" s="98">
        <v>1000</v>
      </c>
      <c r="N387" s="60" t="s">
        <v>1210</v>
      </c>
      <c r="O387" s="88"/>
      <c r="P387" s="60" t="s">
        <v>1346</v>
      </c>
      <c r="Q387" s="60"/>
      <c r="R387" s="60"/>
      <c r="S387" s="89"/>
      <c r="T387" s="106"/>
      <c r="U387" s="88"/>
      <c r="V387" s="91"/>
      <c r="W387" s="12" t="s">
        <v>515</v>
      </c>
      <c r="X387" s="103"/>
      <c r="Y387" s="6" t="s">
        <v>1347</v>
      </c>
      <c r="Z387" s="64" t="s">
        <v>517</v>
      </c>
      <c r="AA387" s="12">
        <v>41</v>
      </c>
      <c r="AB387" s="6" t="s">
        <v>148</v>
      </c>
      <c r="AC387" s="64">
        <v>3060</v>
      </c>
      <c r="AJ387" s="60"/>
      <c r="AK387" s="67" t="s">
        <v>518</v>
      </c>
      <c r="AN387" s="60"/>
      <c r="AO387" s="60"/>
      <c r="AP387" s="60"/>
      <c r="AQ387" s="60"/>
      <c r="AR387" s="72"/>
      <c r="AS387" s="60"/>
      <c r="AT387" s="7"/>
      <c r="AU387" s="7"/>
      <c r="AV387" s="92"/>
      <c r="AW387" s="93"/>
      <c r="AX387" s="77"/>
      <c r="AY387" s="80"/>
      <c r="AZ387" s="94"/>
      <c r="BA387" s="94"/>
      <c r="BB387" s="80" t="s">
        <v>519</v>
      </c>
      <c r="BC387" s="95"/>
      <c r="BD387" s="92"/>
      <c r="BE387" s="92"/>
      <c r="BF387" s="92"/>
      <c r="BG387" s="92"/>
      <c r="BH387" s="92"/>
      <c r="BI387" s="92"/>
      <c r="BJ387" s="92"/>
      <c r="BK387" s="92"/>
      <c r="BL387" s="92"/>
      <c r="BM387" s="92"/>
      <c r="BN387" s="92"/>
      <c r="BO387" s="92"/>
      <c r="BP387" s="92"/>
      <c r="BQ387" s="92"/>
      <c r="BS387" s="6"/>
      <c r="BT387" s="11"/>
      <c r="BU387" s="6"/>
      <c r="BV387" s="6"/>
    </row>
    <row r="388" spans="1:74" ht="15.75" x14ac:dyDescent="0.25">
      <c r="A388" s="50" t="s">
        <v>449</v>
      </c>
      <c r="B388" s="52"/>
      <c r="C388" s="7" t="s">
        <v>118</v>
      </c>
      <c r="D388" s="7" t="s">
        <v>1209</v>
      </c>
      <c r="E388" s="7"/>
      <c r="F388" s="55"/>
      <c r="G388" s="6"/>
      <c r="H388" s="6"/>
      <c r="I388" s="10" t="s">
        <v>110</v>
      </c>
      <c r="J388" s="11" t="s">
        <v>1348</v>
      </c>
      <c r="K388" s="102" t="s">
        <v>377</v>
      </c>
      <c r="L388" s="98"/>
      <c r="M388" s="98">
        <v>1000</v>
      </c>
      <c r="N388" s="60" t="s">
        <v>1210</v>
      </c>
      <c r="O388" s="88"/>
      <c r="P388" s="60" t="s">
        <v>1349</v>
      </c>
      <c r="Q388" s="60"/>
      <c r="R388" s="60"/>
      <c r="S388" s="89"/>
      <c r="T388" s="106"/>
      <c r="U388" s="88"/>
      <c r="V388" s="91"/>
      <c r="W388" s="12" t="s">
        <v>515</v>
      </c>
      <c r="X388" s="103"/>
      <c r="Y388" s="6" t="s">
        <v>1347</v>
      </c>
      <c r="Z388" s="64" t="s">
        <v>522</v>
      </c>
      <c r="AA388" s="12">
        <v>41</v>
      </c>
      <c r="AB388" s="6" t="s">
        <v>148</v>
      </c>
      <c r="AC388" s="64">
        <v>3084</v>
      </c>
      <c r="AJ388" s="60"/>
      <c r="AK388" s="67" t="s">
        <v>450</v>
      </c>
      <c r="AN388" s="60"/>
      <c r="AO388" s="60"/>
      <c r="AP388" s="60"/>
      <c r="AQ388" s="60"/>
      <c r="AR388" s="72"/>
      <c r="AS388" s="60"/>
      <c r="AT388" s="7"/>
      <c r="AU388" s="7"/>
      <c r="AV388" s="92"/>
      <c r="AW388" s="93"/>
      <c r="AX388" s="77"/>
      <c r="AY388" s="80"/>
      <c r="AZ388" s="94"/>
      <c r="BA388" s="94"/>
      <c r="BB388" s="80" t="s">
        <v>519</v>
      </c>
      <c r="BC388" s="95"/>
      <c r="BD388" s="92"/>
      <c r="BE388" s="92"/>
      <c r="BF388" s="92"/>
      <c r="BG388" s="92"/>
      <c r="BH388" s="92"/>
      <c r="BI388" s="92"/>
      <c r="BJ388" s="92"/>
      <c r="BK388" s="92"/>
      <c r="BL388" s="92"/>
      <c r="BM388" s="92"/>
      <c r="BN388" s="92"/>
      <c r="BO388" s="92"/>
      <c r="BP388" s="92"/>
      <c r="BQ388" s="92"/>
      <c r="BS388" s="6"/>
      <c r="BT388" s="11"/>
      <c r="BU388" s="6"/>
      <c r="BV388" s="6"/>
    </row>
    <row r="389" spans="1:74" ht="15.75" x14ac:dyDescent="0.25">
      <c r="A389" s="50" t="s">
        <v>449</v>
      </c>
      <c r="B389" s="52"/>
      <c r="C389" s="7" t="s">
        <v>118</v>
      </c>
      <c r="D389" s="7" t="s">
        <v>1209</v>
      </c>
      <c r="E389" s="7"/>
      <c r="F389" s="55"/>
      <c r="G389" s="6"/>
      <c r="H389" s="6"/>
      <c r="I389" s="10" t="s">
        <v>110</v>
      </c>
      <c r="J389" s="11" t="s">
        <v>1350</v>
      </c>
      <c r="K389" s="102" t="s">
        <v>377</v>
      </c>
      <c r="L389" s="98"/>
      <c r="M389" s="98">
        <v>1000</v>
      </c>
      <c r="N389" s="60" t="s">
        <v>1210</v>
      </c>
      <c r="O389" s="88"/>
      <c r="P389" s="60" t="s">
        <v>1351</v>
      </c>
      <c r="Q389" s="60"/>
      <c r="R389" s="60"/>
      <c r="S389" s="89"/>
      <c r="T389" s="106"/>
      <c r="U389" s="88"/>
      <c r="V389" s="91"/>
      <c r="W389" s="12" t="s">
        <v>515</v>
      </c>
      <c r="X389" s="103"/>
      <c r="Y389" s="6" t="s">
        <v>1352</v>
      </c>
      <c r="Z389" s="64" t="s">
        <v>517</v>
      </c>
      <c r="AA389" s="12">
        <v>42</v>
      </c>
      <c r="AB389" s="6" t="s">
        <v>148</v>
      </c>
      <c r="AC389" s="64">
        <v>3060</v>
      </c>
      <c r="AJ389" s="60"/>
      <c r="AK389" s="67" t="s">
        <v>518</v>
      </c>
      <c r="AN389" s="60"/>
      <c r="AO389" s="60"/>
      <c r="AP389" s="60"/>
      <c r="AQ389" s="60"/>
      <c r="AR389" s="72"/>
      <c r="AS389" s="60"/>
      <c r="AT389" s="7"/>
      <c r="AU389" s="7"/>
      <c r="AV389" s="92"/>
      <c r="AW389" s="93"/>
      <c r="AX389" s="77"/>
      <c r="AY389" s="80"/>
      <c r="AZ389" s="94"/>
      <c r="BA389" s="94"/>
      <c r="BB389" s="80" t="s">
        <v>519</v>
      </c>
      <c r="BC389" s="95"/>
      <c r="BD389" s="92"/>
      <c r="BE389" s="92"/>
      <c r="BF389" s="92"/>
      <c r="BG389" s="92"/>
      <c r="BH389" s="92"/>
      <c r="BI389" s="92"/>
      <c r="BJ389" s="92"/>
      <c r="BK389" s="92"/>
      <c r="BL389" s="92"/>
      <c r="BM389" s="92"/>
      <c r="BN389" s="92"/>
      <c r="BO389" s="92"/>
      <c r="BP389" s="92"/>
      <c r="BQ389" s="92"/>
      <c r="BS389" s="6"/>
      <c r="BT389" s="11"/>
      <c r="BU389" s="6"/>
      <c r="BV389" s="6"/>
    </row>
    <row r="390" spans="1:74" ht="15.75" x14ac:dyDescent="0.25">
      <c r="A390" s="50" t="s">
        <v>449</v>
      </c>
      <c r="B390" s="52"/>
      <c r="C390" s="7" t="s">
        <v>118</v>
      </c>
      <c r="D390" s="7" t="s">
        <v>1209</v>
      </c>
      <c r="E390" s="7"/>
      <c r="F390" s="55"/>
      <c r="G390" s="6"/>
      <c r="H390" s="6"/>
      <c r="I390" s="10" t="s">
        <v>110</v>
      </c>
      <c r="J390" s="11" t="s">
        <v>1353</v>
      </c>
      <c r="K390" s="102" t="s">
        <v>377</v>
      </c>
      <c r="L390" s="98"/>
      <c r="M390" s="98">
        <v>1000</v>
      </c>
      <c r="N390" s="60" t="s">
        <v>1210</v>
      </c>
      <c r="O390" s="88"/>
      <c r="P390" s="60" t="s">
        <v>1354</v>
      </c>
      <c r="Q390" s="60"/>
      <c r="R390" s="60"/>
      <c r="S390" s="89"/>
      <c r="T390" s="106"/>
      <c r="U390" s="88"/>
      <c r="V390" s="91"/>
      <c r="W390" s="12" t="s">
        <v>515</v>
      </c>
      <c r="X390" s="103"/>
      <c r="Y390" s="6" t="s">
        <v>1352</v>
      </c>
      <c r="Z390" s="64" t="s">
        <v>522</v>
      </c>
      <c r="AA390" s="12">
        <v>42</v>
      </c>
      <c r="AB390" s="6" t="s">
        <v>148</v>
      </c>
      <c r="AC390" s="64">
        <v>3084</v>
      </c>
      <c r="AJ390" s="60"/>
      <c r="AK390" s="67" t="s">
        <v>450</v>
      </c>
      <c r="AN390" s="60"/>
      <c r="AO390" s="60"/>
      <c r="AP390" s="60"/>
      <c r="AQ390" s="60"/>
      <c r="AR390" s="72"/>
      <c r="AS390" s="60"/>
      <c r="AT390" s="7"/>
      <c r="AU390" s="7"/>
      <c r="AV390" s="92"/>
      <c r="AW390" s="93"/>
      <c r="AX390" s="77"/>
      <c r="AY390" s="80"/>
      <c r="AZ390" s="94"/>
      <c r="BA390" s="94"/>
      <c r="BB390" s="80" t="s">
        <v>519</v>
      </c>
      <c r="BC390" s="95"/>
      <c r="BD390" s="92"/>
      <c r="BE390" s="92"/>
      <c r="BF390" s="92"/>
      <c r="BG390" s="92"/>
      <c r="BH390" s="92"/>
      <c r="BI390" s="92"/>
      <c r="BJ390" s="92"/>
      <c r="BK390" s="92"/>
      <c r="BL390" s="92"/>
      <c r="BM390" s="92"/>
      <c r="BN390" s="92"/>
      <c r="BO390" s="92"/>
      <c r="BP390" s="92"/>
      <c r="BQ390" s="92"/>
      <c r="BS390" s="6"/>
      <c r="BT390" s="11"/>
      <c r="BU390" s="6"/>
      <c r="BV390" s="6"/>
    </row>
    <row r="391" spans="1:74" ht="15.75" x14ac:dyDescent="0.25">
      <c r="A391" s="50" t="s">
        <v>449</v>
      </c>
      <c r="B391" s="52"/>
      <c r="C391" s="7" t="s">
        <v>118</v>
      </c>
      <c r="D391" s="7" t="s">
        <v>1209</v>
      </c>
      <c r="E391" s="7"/>
      <c r="F391" s="55"/>
      <c r="G391" s="6"/>
      <c r="H391" s="6"/>
      <c r="I391" s="10" t="s">
        <v>110</v>
      </c>
      <c r="J391" s="11" t="s">
        <v>1355</v>
      </c>
      <c r="K391" s="102" t="s">
        <v>377</v>
      </c>
      <c r="L391" s="98"/>
      <c r="M391" s="98">
        <v>1000</v>
      </c>
      <c r="N391" s="60" t="s">
        <v>1210</v>
      </c>
      <c r="O391" s="88"/>
      <c r="P391" s="60" t="s">
        <v>1356</v>
      </c>
      <c r="Q391" s="60"/>
      <c r="R391" s="60"/>
      <c r="S391" s="89"/>
      <c r="T391" s="106"/>
      <c r="U391" s="88"/>
      <c r="V391" s="91"/>
      <c r="W391" s="12" t="s">
        <v>515</v>
      </c>
      <c r="X391" s="103"/>
      <c r="Y391" s="6" t="s">
        <v>1357</v>
      </c>
      <c r="Z391" s="64" t="s">
        <v>517</v>
      </c>
      <c r="AA391" s="12">
        <v>43</v>
      </c>
      <c r="AB391" s="6" t="s">
        <v>148</v>
      </c>
      <c r="AC391" s="64">
        <v>3060</v>
      </c>
      <c r="AJ391" s="60"/>
      <c r="AK391" s="67" t="s">
        <v>518</v>
      </c>
      <c r="AN391" s="60"/>
      <c r="AO391" s="60"/>
      <c r="AP391" s="60"/>
      <c r="AQ391" s="60"/>
      <c r="AR391" s="72"/>
      <c r="AS391" s="60"/>
      <c r="AT391" s="7"/>
      <c r="AU391" s="7"/>
      <c r="AV391" s="92"/>
      <c r="AW391" s="93"/>
      <c r="AX391" s="77"/>
      <c r="AY391" s="80"/>
      <c r="AZ391" s="94"/>
      <c r="BA391" s="94"/>
      <c r="BB391" s="80" t="s">
        <v>519</v>
      </c>
      <c r="BC391" s="95"/>
      <c r="BD391" s="92"/>
      <c r="BE391" s="92"/>
      <c r="BF391" s="92"/>
      <c r="BG391" s="92"/>
      <c r="BH391" s="92"/>
      <c r="BI391" s="92"/>
      <c r="BJ391" s="92"/>
      <c r="BK391" s="92"/>
      <c r="BL391" s="92"/>
      <c r="BM391" s="92"/>
      <c r="BN391" s="92"/>
      <c r="BO391" s="92"/>
      <c r="BP391" s="92"/>
      <c r="BQ391" s="92"/>
      <c r="BS391" s="6"/>
      <c r="BT391" s="11"/>
      <c r="BU391" s="6"/>
      <c r="BV391" s="6"/>
    </row>
    <row r="392" spans="1:74" ht="15.75" x14ac:dyDescent="0.25">
      <c r="A392" s="50" t="s">
        <v>449</v>
      </c>
      <c r="B392" s="52"/>
      <c r="C392" s="7" t="s">
        <v>118</v>
      </c>
      <c r="D392" s="7" t="s">
        <v>1209</v>
      </c>
      <c r="E392" s="7"/>
      <c r="F392" s="55"/>
      <c r="G392" s="6"/>
      <c r="H392" s="6"/>
      <c r="I392" s="10" t="s">
        <v>110</v>
      </c>
      <c r="J392" s="11" t="s">
        <v>1358</v>
      </c>
      <c r="K392" s="102" t="s">
        <v>377</v>
      </c>
      <c r="L392" s="98"/>
      <c r="M392" s="98">
        <v>1000</v>
      </c>
      <c r="N392" s="60" t="s">
        <v>1210</v>
      </c>
      <c r="O392" s="88"/>
      <c r="P392" s="60" t="s">
        <v>1359</v>
      </c>
      <c r="Q392" s="60"/>
      <c r="R392" s="60"/>
      <c r="S392" s="89"/>
      <c r="T392" s="106"/>
      <c r="U392" s="88"/>
      <c r="V392" s="91"/>
      <c r="W392" s="12" t="s">
        <v>515</v>
      </c>
      <c r="X392" s="103"/>
      <c r="Y392" s="6" t="s">
        <v>1357</v>
      </c>
      <c r="Z392" s="64" t="s">
        <v>522</v>
      </c>
      <c r="AA392" s="12">
        <v>43</v>
      </c>
      <c r="AB392" s="6" t="s">
        <v>148</v>
      </c>
      <c r="AC392" s="64">
        <v>3084</v>
      </c>
      <c r="AJ392" s="60"/>
      <c r="AK392" s="67" t="s">
        <v>450</v>
      </c>
      <c r="AN392" s="60"/>
      <c r="AO392" s="60"/>
      <c r="AP392" s="60"/>
      <c r="AQ392" s="60"/>
      <c r="AR392" s="72"/>
      <c r="AS392" s="60"/>
      <c r="AT392" s="7"/>
      <c r="AU392" s="7"/>
      <c r="AV392" s="92"/>
      <c r="AW392" s="93"/>
      <c r="AX392" s="77"/>
      <c r="AY392" s="80"/>
      <c r="AZ392" s="94"/>
      <c r="BA392" s="94"/>
      <c r="BB392" s="80" t="s">
        <v>519</v>
      </c>
      <c r="BC392" s="95"/>
      <c r="BD392" s="92"/>
      <c r="BE392" s="92"/>
      <c r="BF392" s="92"/>
      <c r="BG392" s="92"/>
      <c r="BH392" s="92"/>
      <c r="BI392" s="92"/>
      <c r="BJ392" s="92"/>
      <c r="BK392" s="92"/>
      <c r="BL392" s="92"/>
      <c r="BM392" s="92"/>
      <c r="BN392" s="92"/>
      <c r="BO392" s="92"/>
      <c r="BP392" s="92"/>
      <c r="BQ392" s="92"/>
      <c r="BS392" s="6"/>
      <c r="BT392" s="11"/>
      <c r="BU392" s="6"/>
      <c r="BV392" s="6"/>
    </row>
    <row r="393" spans="1:74" ht="15.75" x14ac:dyDescent="0.25">
      <c r="A393" s="50" t="s">
        <v>449</v>
      </c>
      <c r="B393" s="52"/>
      <c r="C393" s="7" t="s">
        <v>118</v>
      </c>
      <c r="D393" s="7" t="s">
        <v>1209</v>
      </c>
      <c r="E393" s="7"/>
      <c r="F393" s="55"/>
      <c r="G393" s="6"/>
      <c r="H393" s="6"/>
      <c r="I393" s="10" t="s">
        <v>110</v>
      </c>
      <c r="J393" s="11" t="s">
        <v>1360</v>
      </c>
      <c r="K393" s="102" t="s">
        <v>377</v>
      </c>
      <c r="L393" s="98"/>
      <c r="M393" s="98">
        <v>1000</v>
      </c>
      <c r="N393" s="60" t="s">
        <v>1210</v>
      </c>
      <c r="O393" s="88"/>
      <c r="P393" s="60" t="s">
        <v>1361</v>
      </c>
      <c r="Q393" s="60"/>
      <c r="R393" s="60"/>
      <c r="S393" s="89"/>
      <c r="T393" s="106"/>
      <c r="U393" s="88"/>
      <c r="V393" s="91"/>
      <c r="W393" s="12" t="s">
        <v>515</v>
      </c>
      <c r="X393" s="103"/>
      <c r="Y393" s="6" t="s">
        <v>1362</v>
      </c>
      <c r="Z393" s="64" t="s">
        <v>517</v>
      </c>
      <c r="AA393" s="12">
        <v>44</v>
      </c>
      <c r="AB393" s="6" t="s">
        <v>148</v>
      </c>
      <c r="AC393" s="64">
        <v>3060</v>
      </c>
      <c r="AJ393" s="60"/>
      <c r="AK393" s="67" t="s">
        <v>518</v>
      </c>
      <c r="AN393" s="60"/>
      <c r="AO393" s="60"/>
      <c r="AP393" s="60"/>
      <c r="AQ393" s="60"/>
      <c r="AR393" s="72"/>
      <c r="AS393" s="60"/>
      <c r="AT393" s="7"/>
      <c r="AU393" s="7"/>
      <c r="AV393" s="92"/>
      <c r="AW393" s="93"/>
      <c r="AX393" s="77"/>
      <c r="AY393" s="80"/>
      <c r="AZ393" s="94"/>
      <c r="BA393" s="94"/>
      <c r="BB393" s="80" t="s">
        <v>519</v>
      </c>
      <c r="BC393" s="95"/>
      <c r="BD393" s="92"/>
      <c r="BE393" s="92"/>
      <c r="BF393" s="92"/>
      <c r="BG393" s="92"/>
      <c r="BH393" s="92"/>
      <c r="BI393" s="92"/>
      <c r="BJ393" s="92"/>
      <c r="BK393" s="92"/>
      <c r="BL393" s="92"/>
      <c r="BM393" s="92"/>
      <c r="BN393" s="92"/>
      <c r="BO393" s="92"/>
      <c r="BP393" s="92"/>
      <c r="BQ393" s="92"/>
      <c r="BS393" s="6"/>
      <c r="BT393" s="11"/>
      <c r="BU393" s="6"/>
      <c r="BV393" s="6"/>
    </row>
    <row r="394" spans="1:74" ht="15.75" x14ac:dyDescent="0.25">
      <c r="A394" s="50" t="s">
        <v>449</v>
      </c>
      <c r="B394" s="52"/>
      <c r="C394" s="7" t="s">
        <v>118</v>
      </c>
      <c r="D394" s="7" t="s">
        <v>1209</v>
      </c>
      <c r="E394" s="7"/>
      <c r="F394" s="55"/>
      <c r="G394" s="6"/>
      <c r="H394" s="6"/>
      <c r="I394" s="10" t="s">
        <v>110</v>
      </c>
      <c r="J394" s="11" t="s">
        <v>1363</v>
      </c>
      <c r="K394" s="102" t="s">
        <v>377</v>
      </c>
      <c r="L394" s="98"/>
      <c r="M394" s="98">
        <v>1000</v>
      </c>
      <c r="N394" s="60" t="s">
        <v>1210</v>
      </c>
      <c r="O394" s="88"/>
      <c r="P394" s="60" t="s">
        <v>1364</v>
      </c>
      <c r="Q394" s="60"/>
      <c r="R394" s="60"/>
      <c r="S394" s="89"/>
      <c r="T394" s="106"/>
      <c r="U394" s="88"/>
      <c r="V394" s="91"/>
      <c r="W394" s="12" t="s">
        <v>515</v>
      </c>
      <c r="X394" s="103"/>
      <c r="Y394" s="6" t="s">
        <v>1362</v>
      </c>
      <c r="Z394" s="64" t="s">
        <v>522</v>
      </c>
      <c r="AA394" s="12">
        <v>44</v>
      </c>
      <c r="AB394" s="6" t="s">
        <v>148</v>
      </c>
      <c r="AC394" s="64">
        <v>3084</v>
      </c>
      <c r="AJ394" s="60"/>
      <c r="AK394" s="67" t="s">
        <v>450</v>
      </c>
      <c r="AN394" s="60"/>
      <c r="AO394" s="60"/>
      <c r="AP394" s="60"/>
      <c r="AQ394" s="60"/>
      <c r="AR394" s="72"/>
      <c r="AS394" s="60"/>
      <c r="AT394" s="7"/>
      <c r="AU394" s="7"/>
      <c r="AV394" s="92"/>
      <c r="AW394" s="93"/>
      <c r="AX394" s="77"/>
      <c r="AY394" s="80"/>
      <c r="AZ394" s="94"/>
      <c r="BA394" s="94"/>
      <c r="BB394" s="80" t="s">
        <v>519</v>
      </c>
      <c r="BC394" s="95"/>
      <c r="BD394" s="92"/>
      <c r="BE394" s="92"/>
      <c r="BF394" s="92"/>
      <c r="BG394" s="92"/>
      <c r="BH394" s="92"/>
      <c r="BI394" s="92"/>
      <c r="BJ394" s="92"/>
      <c r="BK394" s="92"/>
      <c r="BL394" s="92"/>
      <c r="BM394" s="92"/>
      <c r="BN394" s="92"/>
      <c r="BO394" s="92"/>
      <c r="BP394" s="92"/>
      <c r="BQ394" s="92"/>
      <c r="BS394" s="6"/>
      <c r="BT394" s="11"/>
      <c r="BU394" s="6"/>
      <c r="BV394" s="6"/>
    </row>
    <row r="395" spans="1:74" ht="15.75" x14ac:dyDescent="0.25">
      <c r="A395" s="50" t="s">
        <v>449</v>
      </c>
      <c r="B395" s="52"/>
      <c r="C395" s="7" t="s">
        <v>118</v>
      </c>
      <c r="D395" s="7" t="s">
        <v>1209</v>
      </c>
      <c r="E395" s="7"/>
      <c r="F395" s="55"/>
      <c r="G395" s="6"/>
      <c r="H395" s="6"/>
      <c r="I395" s="10" t="s">
        <v>110</v>
      </c>
      <c r="J395" s="11" t="s">
        <v>1365</v>
      </c>
      <c r="K395" s="102" t="s">
        <v>377</v>
      </c>
      <c r="L395" s="98"/>
      <c r="M395" s="98">
        <v>1000</v>
      </c>
      <c r="N395" s="60" t="s">
        <v>1210</v>
      </c>
      <c r="O395" s="88"/>
      <c r="P395" s="60" t="s">
        <v>1366</v>
      </c>
      <c r="Q395" s="60"/>
      <c r="R395" s="60"/>
      <c r="S395" s="89"/>
      <c r="T395" s="106"/>
      <c r="U395" s="88"/>
      <c r="V395" s="91"/>
      <c r="W395" s="12" t="s">
        <v>515</v>
      </c>
      <c r="X395" s="103"/>
      <c r="Y395" s="6" t="s">
        <v>1367</v>
      </c>
      <c r="Z395" s="64" t="s">
        <v>517</v>
      </c>
      <c r="AA395" s="12">
        <v>45</v>
      </c>
      <c r="AB395" s="6" t="s">
        <v>148</v>
      </c>
      <c r="AC395" s="64">
        <v>3060</v>
      </c>
      <c r="AJ395" s="60"/>
      <c r="AK395" s="67" t="s">
        <v>518</v>
      </c>
      <c r="AN395" s="60"/>
      <c r="AO395" s="60"/>
      <c r="AP395" s="60"/>
      <c r="AQ395" s="60"/>
      <c r="AR395" s="72"/>
      <c r="AS395" s="60"/>
      <c r="AT395" s="7"/>
      <c r="AU395" s="7"/>
      <c r="AV395" s="92"/>
      <c r="AW395" s="93"/>
      <c r="AX395" s="77"/>
      <c r="AY395" s="80"/>
      <c r="AZ395" s="94"/>
      <c r="BA395" s="94"/>
      <c r="BB395" s="80" t="s">
        <v>519</v>
      </c>
      <c r="BC395" s="95"/>
      <c r="BD395" s="92"/>
      <c r="BE395" s="92"/>
      <c r="BF395" s="92"/>
      <c r="BG395" s="92"/>
      <c r="BH395" s="92"/>
      <c r="BI395" s="92"/>
      <c r="BJ395" s="92"/>
      <c r="BK395" s="92"/>
      <c r="BL395" s="92"/>
      <c r="BM395" s="92"/>
      <c r="BN395" s="92"/>
      <c r="BO395" s="92"/>
      <c r="BP395" s="92"/>
      <c r="BQ395" s="92"/>
      <c r="BS395" s="6"/>
      <c r="BT395" s="11"/>
      <c r="BU395" s="6"/>
      <c r="BV395" s="6"/>
    </row>
    <row r="396" spans="1:74" ht="15.75" x14ac:dyDescent="0.25">
      <c r="A396" s="50" t="s">
        <v>449</v>
      </c>
      <c r="B396" s="52"/>
      <c r="C396" s="7" t="s">
        <v>118</v>
      </c>
      <c r="D396" s="7" t="s">
        <v>1209</v>
      </c>
      <c r="E396" s="7"/>
      <c r="F396" s="55"/>
      <c r="G396" s="6"/>
      <c r="H396" s="6"/>
      <c r="I396" s="10" t="s">
        <v>110</v>
      </c>
      <c r="J396" s="11" t="s">
        <v>1368</v>
      </c>
      <c r="K396" s="102" t="s">
        <v>377</v>
      </c>
      <c r="L396" s="98"/>
      <c r="M396" s="98">
        <v>1000</v>
      </c>
      <c r="N396" s="60" t="s">
        <v>1210</v>
      </c>
      <c r="O396" s="88"/>
      <c r="P396" s="60" t="s">
        <v>1369</v>
      </c>
      <c r="Q396" s="60"/>
      <c r="R396" s="60"/>
      <c r="S396" s="89"/>
      <c r="T396" s="106"/>
      <c r="U396" s="88"/>
      <c r="V396" s="91"/>
      <c r="W396" s="12" t="s">
        <v>515</v>
      </c>
      <c r="X396" s="103"/>
      <c r="Y396" s="6" t="s">
        <v>1367</v>
      </c>
      <c r="Z396" s="64" t="s">
        <v>522</v>
      </c>
      <c r="AA396" s="12">
        <v>45</v>
      </c>
      <c r="AB396" s="6" t="s">
        <v>148</v>
      </c>
      <c r="AC396" s="64">
        <v>3084</v>
      </c>
      <c r="AJ396" s="60"/>
      <c r="AK396" s="67" t="s">
        <v>450</v>
      </c>
      <c r="AN396" s="60"/>
      <c r="AO396" s="60"/>
      <c r="AP396" s="60"/>
      <c r="AQ396" s="60"/>
      <c r="AR396" s="72"/>
      <c r="AS396" s="60"/>
      <c r="AT396" s="7"/>
      <c r="AU396" s="7"/>
      <c r="AV396" s="92"/>
      <c r="AW396" s="93"/>
      <c r="AX396" s="77"/>
      <c r="AY396" s="80"/>
      <c r="AZ396" s="94"/>
      <c r="BA396" s="94"/>
      <c r="BB396" s="80" t="s">
        <v>519</v>
      </c>
      <c r="BC396" s="95"/>
      <c r="BD396" s="92"/>
      <c r="BE396" s="92"/>
      <c r="BF396" s="92"/>
      <c r="BG396" s="92"/>
      <c r="BH396" s="92"/>
      <c r="BI396" s="92"/>
      <c r="BJ396" s="92"/>
      <c r="BK396" s="92"/>
      <c r="BL396" s="92"/>
      <c r="BM396" s="92"/>
      <c r="BN396" s="92"/>
      <c r="BO396" s="92"/>
      <c r="BP396" s="92"/>
      <c r="BQ396" s="92"/>
      <c r="BS396" s="6"/>
      <c r="BT396" s="11"/>
      <c r="BU396" s="6"/>
      <c r="BV396" s="6"/>
    </row>
    <row r="397" spans="1:74" ht="15.75" x14ac:dyDescent="0.25">
      <c r="A397" s="50" t="s">
        <v>449</v>
      </c>
      <c r="B397" s="52"/>
      <c r="C397" s="7" t="s">
        <v>118</v>
      </c>
      <c r="D397" s="7" t="s">
        <v>1209</v>
      </c>
      <c r="E397" s="7"/>
      <c r="F397" s="55"/>
      <c r="G397" s="6"/>
      <c r="H397" s="6"/>
      <c r="I397" s="10" t="s">
        <v>110</v>
      </c>
      <c r="J397" s="11" t="s">
        <v>1370</v>
      </c>
      <c r="K397" s="102" t="s">
        <v>377</v>
      </c>
      <c r="L397" s="98"/>
      <c r="M397" s="98">
        <v>1000</v>
      </c>
      <c r="N397" s="60" t="s">
        <v>1210</v>
      </c>
      <c r="O397" s="88"/>
      <c r="P397" s="60" t="s">
        <v>1371</v>
      </c>
      <c r="Q397" s="60"/>
      <c r="R397" s="60"/>
      <c r="S397" s="89"/>
      <c r="T397" s="106"/>
      <c r="U397" s="88"/>
      <c r="V397" s="91"/>
      <c r="W397" s="12" t="s">
        <v>515</v>
      </c>
      <c r="X397" s="103"/>
      <c r="Y397" s="6" t="s">
        <v>1372</v>
      </c>
      <c r="Z397" s="64" t="s">
        <v>517</v>
      </c>
      <c r="AA397" s="12">
        <v>46</v>
      </c>
      <c r="AB397" s="6" t="s">
        <v>148</v>
      </c>
      <c r="AC397" s="64">
        <v>3060</v>
      </c>
      <c r="AJ397" s="60"/>
      <c r="AK397" s="67" t="s">
        <v>518</v>
      </c>
      <c r="AN397" s="60"/>
      <c r="AO397" s="60"/>
      <c r="AP397" s="60"/>
      <c r="AQ397" s="60"/>
      <c r="AR397" s="72"/>
      <c r="AS397" s="60"/>
      <c r="AT397" s="7"/>
      <c r="AU397" s="7"/>
      <c r="AV397" s="92"/>
      <c r="AW397" s="93"/>
      <c r="AX397" s="77"/>
      <c r="AY397" s="80"/>
      <c r="AZ397" s="94"/>
      <c r="BA397" s="94"/>
      <c r="BB397" s="80" t="s">
        <v>519</v>
      </c>
      <c r="BC397" s="95"/>
      <c r="BD397" s="92"/>
      <c r="BE397" s="92"/>
      <c r="BF397" s="92"/>
      <c r="BG397" s="92"/>
      <c r="BH397" s="92"/>
      <c r="BI397" s="92"/>
      <c r="BJ397" s="92"/>
      <c r="BK397" s="92"/>
      <c r="BL397" s="92"/>
      <c r="BM397" s="92"/>
      <c r="BN397" s="92"/>
      <c r="BO397" s="92"/>
      <c r="BP397" s="92"/>
      <c r="BQ397" s="92"/>
      <c r="BS397" s="6"/>
      <c r="BT397" s="11"/>
      <c r="BU397" s="6"/>
      <c r="BV397" s="6"/>
    </row>
    <row r="398" spans="1:74" ht="15.75" x14ac:dyDescent="0.25">
      <c r="A398" s="50" t="s">
        <v>449</v>
      </c>
      <c r="B398" s="52"/>
      <c r="C398" s="7" t="s">
        <v>118</v>
      </c>
      <c r="D398" s="7" t="s">
        <v>1209</v>
      </c>
      <c r="E398" s="7"/>
      <c r="F398" s="55"/>
      <c r="G398" s="6"/>
      <c r="H398" s="6"/>
      <c r="I398" s="10" t="s">
        <v>110</v>
      </c>
      <c r="J398" s="11" t="s">
        <v>1373</v>
      </c>
      <c r="K398" s="102" t="s">
        <v>377</v>
      </c>
      <c r="L398" s="98"/>
      <c r="M398" s="98">
        <v>1000</v>
      </c>
      <c r="N398" s="60" t="s">
        <v>1210</v>
      </c>
      <c r="O398" s="88"/>
      <c r="P398" s="60" t="s">
        <v>1374</v>
      </c>
      <c r="Q398" s="60"/>
      <c r="R398" s="60"/>
      <c r="S398" s="89"/>
      <c r="T398" s="106"/>
      <c r="U398" s="88"/>
      <c r="V398" s="91"/>
      <c r="W398" s="12" t="s">
        <v>515</v>
      </c>
      <c r="X398" s="103"/>
      <c r="Y398" s="6" t="s">
        <v>1372</v>
      </c>
      <c r="Z398" s="64" t="s">
        <v>522</v>
      </c>
      <c r="AA398" s="12">
        <v>46</v>
      </c>
      <c r="AB398" s="6" t="s">
        <v>148</v>
      </c>
      <c r="AC398" s="64">
        <v>3084</v>
      </c>
      <c r="AJ398" s="60"/>
      <c r="AK398" s="67" t="s">
        <v>450</v>
      </c>
      <c r="AN398" s="60"/>
      <c r="AO398" s="60"/>
      <c r="AP398" s="60"/>
      <c r="AQ398" s="60"/>
      <c r="AR398" s="72"/>
      <c r="AS398" s="60"/>
      <c r="AT398" s="7"/>
      <c r="AU398" s="7"/>
      <c r="AV398" s="92"/>
      <c r="AW398" s="93"/>
      <c r="AX398" s="77"/>
      <c r="AY398" s="80"/>
      <c r="AZ398" s="94"/>
      <c r="BA398" s="94"/>
      <c r="BB398" s="80" t="s">
        <v>519</v>
      </c>
      <c r="BC398" s="95"/>
      <c r="BD398" s="92"/>
      <c r="BE398" s="92"/>
      <c r="BF398" s="92"/>
      <c r="BG398" s="92"/>
      <c r="BH398" s="92"/>
      <c r="BI398" s="92"/>
      <c r="BJ398" s="92"/>
      <c r="BK398" s="92"/>
      <c r="BL398" s="92"/>
      <c r="BM398" s="92"/>
      <c r="BN398" s="92"/>
      <c r="BO398" s="92"/>
      <c r="BP398" s="92"/>
      <c r="BQ398" s="92"/>
      <c r="BS398" s="6"/>
      <c r="BT398" s="11"/>
      <c r="BU398" s="6"/>
      <c r="BV398" s="6"/>
    </row>
    <row r="399" spans="1:74" ht="15.75" x14ac:dyDescent="0.25">
      <c r="A399" s="50" t="s">
        <v>449</v>
      </c>
      <c r="B399" s="52"/>
      <c r="C399" s="7" t="s">
        <v>118</v>
      </c>
      <c r="D399" s="7" t="s">
        <v>1209</v>
      </c>
      <c r="E399" s="7"/>
      <c r="F399" s="55"/>
      <c r="G399" s="6"/>
      <c r="H399" s="6"/>
      <c r="I399" s="10" t="s">
        <v>110</v>
      </c>
      <c r="J399" s="11" t="s">
        <v>1375</v>
      </c>
      <c r="K399" s="102" t="s">
        <v>377</v>
      </c>
      <c r="L399" s="98"/>
      <c r="M399" s="98">
        <v>1000</v>
      </c>
      <c r="N399" s="60" t="s">
        <v>1210</v>
      </c>
      <c r="O399" s="88"/>
      <c r="P399" s="60" t="s">
        <v>1376</v>
      </c>
      <c r="Q399" s="60"/>
      <c r="R399" s="60"/>
      <c r="S399" s="89"/>
      <c r="T399" s="106"/>
      <c r="U399" s="88"/>
      <c r="V399" s="91"/>
      <c r="W399" s="12" t="s">
        <v>515</v>
      </c>
      <c r="X399" s="103"/>
      <c r="Y399" s="6" t="s">
        <v>1377</v>
      </c>
      <c r="Z399" s="64" t="s">
        <v>517</v>
      </c>
      <c r="AA399" s="12">
        <v>47</v>
      </c>
      <c r="AB399" s="6" t="s">
        <v>148</v>
      </c>
      <c r="AC399" s="64">
        <v>3060</v>
      </c>
      <c r="AJ399" s="60"/>
      <c r="AK399" s="67" t="s">
        <v>518</v>
      </c>
      <c r="AN399" s="60"/>
      <c r="AO399" s="60"/>
      <c r="AP399" s="60"/>
      <c r="AQ399" s="60"/>
      <c r="AR399" s="72"/>
      <c r="AS399" s="60"/>
      <c r="AT399" s="7"/>
      <c r="AU399" s="7"/>
      <c r="AV399" s="92"/>
      <c r="AW399" s="93"/>
      <c r="AX399" s="77"/>
      <c r="AY399" s="80"/>
      <c r="AZ399" s="94"/>
      <c r="BA399" s="94"/>
      <c r="BB399" s="80" t="s">
        <v>519</v>
      </c>
      <c r="BC399" s="95"/>
      <c r="BD399" s="92"/>
      <c r="BE399" s="92"/>
      <c r="BF399" s="92"/>
      <c r="BG399" s="92"/>
      <c r="BH399" s="92"/>
      <c r="BI399" s="92"/>
      <c r="BJ399" s="92"/>
      <c r="BK399" s="92"/>
      <c r="BL399" s="92"/>
      <c r="BM399" s="92"/>
      <c r="BN399" s="92"/>
      <c r="BO399" s="92"/>
      <c r="BP399" s="92"/>
      <c r="BQ399" s="92"/>
      <c r="BS399" s="6"/>
      <c r="BT399" s="11"/>
      <c r="BU399" s="6"/>
      <c r="BV399" s="6"/>
    </row>
    <row r="400" spans="1:74" ht="15.75" x14ac:dyDescent="0.25">
      <c r="A400" s="50" t="s">
        <v>449</v>
      </c>
      <c r="B400" s="52"/>
      <c r="C400" s="7" t="s">
        <v>118</v>
      </c>
      <c r="D400" s="7" t="s">
        <v>1209</v>
      </c>
      <c r="E400" s="7"/>
      <c r="F400" s="55"/>
      <c r="G400" s="6"/>
      <c r="H400" s="6"/>
      <c r="I400" s="10" t="s">
        <v>110</v>
      </c>
      <c r="J400" s="11" t="s">
        <v>1378</v>
      </c>
      <c r="K400" s="102" t="s">
        <v>377</v>
      </c>
      <c r="L400" s="98"/>
      <c r="M400" s="98">
        <v>1000</v>
      </c>
      <c r="N400" s="60" t="s">
        <v>1210</v>
      </c>
      <c r="O400" s="88"/>
      <c r="P400" s="60" t="s">
        <v>1379</v>
      </c>
      <c r="Q400" s="60"/>
      <c r="R400" s="60"/>
      <c r="S400" s="89"/>
      <c r="T400" s="106"/>
      <c r="U400" s="88"/>
      <c r="V400" s="91"/>
      <c r="W400" s="12" t="s">
        <v>515</v>
      </c>
      <c r="X400" s="103"/>
      <c r="Y400" s="6" t="s">
        <v>1377</v>
      </c>
      <c r="Z400" s="64" t="s">
        <v>522</v>
      </c>
      <c r="AA400" s="12">
        <v>47</v>
      </c>
      <c r="AB400" s="6" t="s">
        <v>148</v>
      </c>
      <c r="AC400" s="64">
        <v>3084</v>
      </c>
      <c r="AJ400" s="60"/>
      <c r="AK400" s="67" t="s">
        <v>450</v>
      </c>
      <c r="AN400" s="60"/>
      <c r="AO400" s="60"/>
      <c r="AP400" s="60"/>
      <c r="AQ400" s="60"/>
      <c r="AR400" s="72"/>
      <c r="AS400" s="60"/>
      <c r="AT400" s="7"/>
      <c r="AU400" s="7"/>
      <c r="AV400" s="92"/>
      <c r="AW400" s="93"/>
      <c r="AX400" s="77"/>
      <c r="AY400" s="80"/>
      <c r="AZ400" s="94"/>
      <c r="BA400" s="94"/>
      <c r="BB400" s="80" t="s">
        <v>519</v>
      </c>
      <c r="BC400" s="95"/>
      <c r="BD400" s="92"/>
      <c r="BE400" s="92"/>
      <c r="BF400" s="92"/>
      <c r="BG400" s="92"/>
      <c r="BH400" s="92"/>
      <c r="BI400" s="92"/>
      <c r="BJ400" s="92"/>
      <c r="BK400" s="92"/>
      <c r="BL400" s="92"/>
      <c r="BM400" s="92"/>
      <c r="BN400" s="92"/>
      <c r="BO400" s="92"/>
      <c r="BP400" s="92"/>
      <c r="BQ400" s="92"/>
      <c r="BS400" s="6"/>
      <c r="BT400" s="11"/>
      <c r="BU400" s="6"/>
      <c r="BV400" s="6"/>
    </row>
    <row r="401" spans="1:74" ht="15.75" x14ac:dyDescent="0.25">
      <c r="A401" s="50" t="s">
        <v>449</v>
      </c>
      <c r="B401" s="52"/>
      <c r="C401" s="7" t="s">
        <v>118</v>
      </c>
      <c r="D401" s="7" t="s">
        <v>1209</v>
      </c>
      <c r="E401" s="7"/>
      <c r="F401" s="55"/>
      <c r="G401" s="6"/>
      <c r="H401" s="6"/>
      <c r="I401" s="10" t="s">
        <v>110</v>
      </c>
      <c r="J401" s="11" t="s">
        <v>1380</v>
      </c>
      <c r="K401" s="102" t="s">
        <v>377</v>
      </c>
      <c r="L401" s="98"/>
      <c r="M401" s="98">
        <v>1000</v>
      </c>
      <c r="N401" s="60" t="s">
        <v>1210</v>
      </c>
      <c r="O401" s="88"/>
      <c r="P401" s="60" t="s">
        <v>1381</v>
      </c>
      <c r="Q401" s="60"/>
      <c r="R401" s="60"/>
      <c r="S401" s="89"/>
      <c r="T401" s="106"/>
      <c r="U401" s="88"/>
      <c r="V401" s="91"/>
      <c r="W401" s="12" t="s">
        <v>515</v>
      </c>
      <c r="X401" s="103"/>
      <c r="Y401" s="6" t="s">
        <v>1382</v>
      </c>
      <c r="Z401" s="64" t="s">
        <v>517</v>
      </c>
      <c r="AA401" s="12">
        <v>48</v>
      </c>
      <c r="AB401" s="6" t="s">
        <v>148</v>
      </c>
      <c r="AC401" s="64">
        <v>3060</v>
      </c>
      <c r="AJ401" s="60"/>
      <c r="AK401" s="67" t="s">
        <v>518</v>
      </c>
      <c r="AN401" s="60"/>
      <c r="AO401" s="60"/>
      <c r="AP401" s="60"/>
      <c r="AQ401" s="60"/>
      <c r="AR401" s="72"/>
      <c r="AS401" s="60"/>
      <c r="AT401" s="7"/>
      <c r="AU401" s="7"/>
      <c r="AV401" s="92"/>
      <c r="AW401" s="93"/>
      <c r="AX401" s="77"/>
      <c r="AY401" s="80"/>
      <c r="AZ401" s="94"/>
      <c r="BA401" s="94"/>
      <c r="BB401" s="80" t="s">
        <v>519</v>
      </c>
      <c r="BC401" s="95"/>
      <c r="BD401" s="92"/>
      <c r="BE401" s="92"/>
      <c r="BF401" s="92"/>
      <c r="BG401" s="92"/>
      <c r="BH401" s="92"/>
      <c r="BI401" s="92"/>
      <c r="BJ401" s="92"/>
      <c r="BK401" s="92"/>
      <c r="BL401" s="92"/>
      <c r="BM401" s="92"/>
      <c r="BN401" s="92"/>
      <c r="BO401" s="92"/>
      <c r="BP401" s="92"/>
      <c r="BQ401" s="92"/>
      <c r="BS401" s="6"/>
      <c r="BT401" s="11"/>
      <c r="BU401" s="6"/>
      <c r="BV401" s="6"/>
    </row>
    <row r="402" spans="1:74" ht="15.75" x14ac:dyDescent="0.25">
      <c r="A402" s="50" t="s">
        <v>449</v>
      </c>
      <c r="B402" s="52"/>
      <c r="C402" s="7" t="s">
        <v>118</v>
      </c>
      <c r="D402" s="7" t="s">
        <v>1209</v>
      </c>
      <c r="E402" s="7"/>
      <c r="F402" s="55"/>
      <c r="G402" s="6"/>
      <c r="H402" s="6"/>
      <c r="I402" s="10" t="s">
        <v>110</v>
      </c>
      <c r="J402" s="11" t="s">
        <v>1383</v>
      </c>
      <c r="K402" s="102" t="s">
        <v>377</v>
      </c>
      <c r="L402" s="98"/>
      <c r="M402" s="98">
        <v>1000</v>
      </c>
      <c r="N402" s="60" t="s">
        <v>1210</v>
      </c>
      <c r="O402" s="88"/>
      <c r="P402" s="60" t="s">
        <v>1384</v>
      </c>
      <c r="Q402" s="60"/>
      <c r="R402" s="60"/>
      <c r="S402" s="89"/>
      <c r="T402" s="106"/>
      <c r="U402" s="88"/>
      <c r="V402" s="91"/>
      <c r="W402" s="12" t="s">
        <v>515</v>
      </c>
      <c r="X402" s="103"/>
      <c r="Y402" s="6" t="s">
        <v>1382</v>
      </c>
      <c r="Z402" s="64" t="s">
        <v>522</v>
      </c>
      <c r="AA402" s="12">
        <v>48</v>
      </c>
      <c r="AB402" s="6" t="s">
        <v>148</v>
      </c>
      <c r="AC402" s="64">
        <v>3084</v>
      </c>
      <c r="AJ402" s="60"/>
      <c r="AK402" s="67" t="s">
        <v>450</v>
      </c>
      <c r="AN402" s="60"/>
      <c r="AO402" s="60"/>
      <c r="AP402" s="60"/>
      <c r="AQ402" s="60"/>
      <c r="AR402" s="72"/>
      <c r="AS402" s="60"/>
      <c r="AT402" s="7"/>
      <c r="AU402" s="7"/>
      <c r="AV402" s="92"/>
      <c r="AW402" s="93"/>
      <c r="AX402" s="77"/>
      <c r="AY402" s="80"/>
      <c r="AZ402" s="94"/>
      <c r="BA402" s="94"/>
      <c r="BB402" s="80" t="s">
        <v>519</v>
      </c>
      <c r="BC402" s="95"/>
      <c r="BD402" s="92"/>
      <c r="BE402" s="92"/>
      <c r="BF402" s="92"/>
      <c r="BG402" s="92"/>
      <c r="BH402" s="92"/>
      <c r="BI402" s="92"/>
      <c r="BJ402" s="92"/>
      <c r="BK402" s="92"/>
      <c r="BL402" s="92"/>
      <c r="BM402" s="92"/>
      <c r="BN402" s="92"/>
      <c r="BO402" s="92"/>
      <c r="BP402" s="92"/>
      <c r="BQ402" s="92"/>
      <c r="BS402" s="6"/>
      <c r="BT402" s="11"/>
      <c r="BU402" s="6"/>
      <c r="BV402" s="6"/>
    </row>
    <row r="403" spans="1:74" ht="15.75" x14ac:dyDescent="0.25">
      <c r="A403" s="50" t="s">
        <v>449</v>
      </c>
      <c r="B403" s="52"/>
      <c r="C403" s="7" t="s">
        <v>118</v>
      </c>
      <c r="D403" s="7" t="s">
        <v>1209</v>
      </c>
      <c r="E403" s="7"/>
      <c r="F403" s="55"/>
      <c r="G403" s="6"/>
      <c r="H403" s="6"/>
      <c r="I403" s="10" t="s">
        <v>110</v>
      </c>
      <c r="J403" s="11" t="s">
        <v>1385</v>
      </c>
      <c r="K403" s="102" t="s">
        <v>377</v>
      </c>
      <c r="L403" s="98"/>
      <c r="M403" s="98">
        <v>1000</v>
      </c>
      <c r="N403" s="60" t="s">
        <v>1210</v>
      </c>
      <c r="O403" s="88"/>
      <c r="P403" s="60" t="s">
        <v>1386</v>
      </c>
      <c r="Q403" s="60"/>
      <c r="R403" s="60"/>
      <c r="S403" s="89"/>
      <c r="T403" s="106"/>
      <c r="U403" s="88"/>
      <c r="V403" s="91"/>
      <c r="W403" s="12" t="s">
        <v>515</v>
      </c>
      <c r="X403" s="103"/>
      <c r="Y403" s="6" t="s">
        <v>1387</v>
      </c>
      <c r="Z403" s="64" t="s">
        <v>517</v>
      </c>
      <c r="AA403" s="12">
        <v>49</v>
      </c>
      <c r="AB403" s="6" t="s">
        <v>148</v>
      </c>
      <c r="AC403" s="64">
        <v>3060</v>
      </c>
      <c r="AJ403" s="60"/>
      <c r="AK403" s="67" t="s">
        <v>518</v>
      </c>
      <c r="AN403" s="60"/>
      <c r="AO403" s="60"/>
      <c r="AP403" s="60"/>
      <c r="AQ403" s="60"/>
      <c r="AR403" s="72"/>
      <c r="AS403" s="60"/>
      <c r="AT403" s="7"/>
      <c r="AU403" s="7"/>
      <c r="AV403" s="92"/>
      <c r="AW403" s="93"/>
      <c r="AX403" s="77"/>
      <c r="AY403" s="80"/>
      <c r="AZ403" s="94"/>
      <c r="BA403" s="94"/>
      <c r="BB403" s="80" t="s">
        <v>519</v>
      </c>
      <c r="BC403" s="95"/>
      <c r="BD403" s="92"/>
      <c r="BE403" s="92"/>
      <c r="BF403" s="92"/>
      <c r="BG403" s="92"/>
      <c r="BH403" s="92"/>
      <c r="BI403" s="92"/>
      <c r="BJ403" s="92"/>
      <c r="BK403" s="92"/>
      <c r="BL403" s="92"/>
      <c r="BM403" s="92"/>
      <c r="BN403" s="92"/>
      <c r="BO403" s="92"/>
      <c r="BP403" s="92"/>
      <c r="BQ403" s="92"/>
      <c r="BS403" s="6"/>
      <c r="BT403" s="11"/>
      <c r="BU403" s="6"/>
      <c r="BV403" s="6"/>
    </row>
    <row r="404" spans="1:74" ht="15.75" x14ac:dyDescent="0.25">
      <c r="A404" s="50" t="s">
        <v>449</v>
      </c>
      <c r="B404" s="52"/>
      <c r="C404" s="7" t="s">
        <v>118</v>
      </c>
      <c r="D404" s="7" t="s">
        <v>1209</v>
      </c>
      <c r="E404" s="7"/>
      <c r="F404" s="55"/>
      <c r="G404" s="6"/>
      <c r="H404" s="6"/>
      <c r="I404" s="10" t="s">
        <v>110</v>
      </c>
      <c r="J404" s="11" t="s">
        <v>1388</v>
      </c>
      <c r="K404" s="102" t="s">
        <v>377</v>
      </c>
      <c r="L404" s="98"/>
      <c r="M404" s="98">
        <v>1000</v>
      </c>
      <c r="N404" s="60" t="s">
        <v>1210</v>
      </c>
      <c r="O404" s="88"/>
      <c r="P404" s="60" t="s">
        <v>1389</v>
      </c>
      <c r="Q404" s="60"/>
      <c r="R404" s="60"/>
      <c r="S404" s="89"/>
      <c r="T404" s="106"/>
      <c r="U404" s="88"/>
      <c r="V404" s="91"/>
      <c r="W404" s="12" t="s">
        <v>515</v>
      </c>
      <c r="X404" s="103"/>
      <c r="Y404" s="6" t="s">
        <v>1387</v>
      </c>
      <c r="Z404" s="64" t="s">
        <v>522</v>
      </c>
      <c r="AA404" s="12">
        <v>49</v>
      </c>
      <c r="AB404" s="6" t="s">
        <v>148</v>
      </c>
      <c r="AC404" s="64">
        <v>3084</v>
      </c>
      <c r="AJ404" s="60"/>
      <c r="AK404" s="67" t="s">
        <v>450</v>
      </c>
      <c r="AN404" s="60"/>
      <c r="AO404" s="60"/>
      <c r="AP404" s="60"/>
      <c r="AQ404" s="60"/>
      <c r="AR404" s="72"/>
      <c r="AS404" s="60"/>
      <c r="AT404" s="7"/>
      <c r="AU404" s="7"/>
      <c r="AV404" s="92"/>
      <c r="AW404" s="93"/>
      <c r="AX404" s="77"/>
      <c r="AY404" s="80"/>
      <c r="AZ404" s="94"/>
      <c r="BA404" s="94"/>
      <c r="BB404" s="80" t="s">
        <v>519</v>
      </c>
      <c r="BC404" s="95"/>
      <c r="BD404" s="92"/>
      <c r="BE404" s="92"/>
      <c r="BF404" s="92"/>
      <c r="BG404" s="92"/>
      <c r="BH404" s="92"/>
      <c r="BI404" s="92"/>
      <c r="BJ404" s="92"/>
      <c r="BK404" s="92"/>
      <c r="BL404" s="92"/>
      <c r="BM404" s="92"/>
      <c r="BN404" s="92"/>
      <c r="BO404" s="92"/>
      <c r="BP404" s="92"/>
      <c r="BQ404" s="92"/>
      <c r="BS404" s="6"/>
      <c r="BT404" s="11"/>
      <c r="BU404" s="6"/>
      <c r="BV404" s="6"/>
    </row>
    <row r="405" spans="1:74" ht="15.75" x14ac:dyDescent="0.25">
      <c r="A405" s="50" t="s">
        <v>449</v>
      </c>
      <c r="B405" s="52"/>
      <c r="C405" s="7" t="s">
        <v>118</v>
      </c>
      <c r="D405" s="7" t="s">
        <v>1209</v>
      </c>
      <c r="E405" s="7"/>
      <c r="F405" s="55"/>
      <c r="G405" s="6"/>
      <c r="H405" s="6"/>
      <c r="I405" s="10" t="s">
        <v>110</v>
      </c>
      <c r="J405" s="11" t="s">
        <v>1390</v>
      </c>
      <c r="K405" s="102" t="s">
        <v>377</v>
      </c>
      <c r="L405" s="98"/>
      <c r="M405" s="98">
        <v>1000</v>
      </c>
      <c r="N405" s="60" t="s">
        <v>1210</v>
      </c>
      <c r="O405" s="88"/>
      <c r="P405" s="60" t="s">
        <v>1391</v>
      </c>
      <c r="Q405" s="60"/>
      <c r="R405" s="60"/>
      <c r="S405" s="89"/>
      <c r="T405" s="106"/>
      <c r="U405" s="88"/>
      <c r="V405" s="91"/>
      <c r="W405" s="12" t="s">
        <v>515</v>
      </c>
      <c r="X405" s="103"/>
      <c r="Y405" s="6" t="s">
        <v>1392</v>
      </c>
      <c r="Z405" s="64" t="s">
        <v>517</v>
      </c>
      <c r="AA405" s="12">
        <v>50</v>
      </c>
      <c r="AB405" s="6" t="s">
        <v>148</v>
      </c>
      <c r="AC405" s="64">
        <v>3060</v>
      </c>
      <c r="AJ405" s="60"/>
      <c r="AK405" s="67" t="s">
        <v>518</v>
      </c>
      <c r="AN405" s="60"/>
      <c r="AO405" s="60"/>
      <c r="AP405" s="60"/>
      <c r="AQ405" s="60"/>
      <c r="AR405" s="72"/>
      <c r="AS405" s="60"/>
      <c r="AT405" s="7"/>
      <c r="AU405" s="7"/>
      <c r="AV405" s="92"/>
      <c r="AW405" s="93"/>
      <c r="AX405" s="77"/>
      <c r="AY405" s="80"/>
      <c r="AZ405" s="94"/>
      <c r="BA405" s="94"/>
      <c r="BB405" s="80" t="s">
        <v>519</v>
      </c>
      <c r="BC405" s="95"/>
      <c r="BD405" s="92"/>
      <c r="BE405" s="92"/>
      <c r="BF405" s="92"/>
      <c r="BG405" s="92"/>
      <c r="BH405" s="92"/>
      <c r="BI405" s="92"/>
      <c r="BJ405" s="92"/>
      <c r="BK405" s="92"/>
      <c r="BL405" s="92"/>
      <c r="BM405" s="92"/>
      <c r="BN405" s="92"/>
      <c r="BO405" s="92"/>
      <c r="BP405" s="92"/>
      <c r="BQ405" s="92"/>
      <c r="BS405" s="6"/>
      <c r="BT405" s="11"/>
      <c r="BU405" s="6"/>
      <c r="BV405" s="6"/>
    </row>
    <row r="406" spans="1:74" ht="15.75" x14ac:dyDescent="0.25">
      <c r="A406" s="50" t="s">
        <v>449</v>
      </c>
      <c r="B406" s="52"/>
      <c r="C406" s="7" t="s">
        <v>118</v>
      </c>
      <c r="D406" s="7" t="s">
        <v>1209</v>
      </c>
      <c r="E406" s="7"/>
      <c r="F406" s="55"/>
      <c r="G406" s="6"/>
      <c r="H406" s="6"/>
      <c r="I406" s="10" t="s">
        <v>110</v>
      </c>
      <c r="J406" s="11" t="s">
        <v>1393</v>
      </c>
      <c r="K406" s="102" t="s">
        <v>377</v>
      </c>
      <c r="L406" s="98"/>
      <c r="M406" s="98">
        <v>1000</v>
      </c>
      <c r="N406" s="60" t="s">
        <v>1210</v>
      </c>
      <c r="O406" s="88"/>
      <c r="P406" s="60" t="s">
        <v>1394</v>
      </c>
      <c r="Q406" s="60"/>
      <c r="R406" s="60"/>
      <c r="S406" s="89"/>
      <c r="T406" s="106"/>
      <c r="U406" s="88"/>
      <c r="V406" s="91"/>
      <c r="W406" s="12" t="s">
        <v>515</v>
      </c>
      <c r="X406" s="103"/>
      <c r="Y406" s="6" t="s">
        <v>1392</v>
      </c>
      <c r="Z406" s="64" t="s">
        <v>522</v>
      </c>
      <c r="AA406" s="12">
        <v>50</v>
      </c>
      <c r="AB406" s="6" t="s">
        <v>148</v>
      </c>
      <c r="AC406" s="64">
        <v>3084</v>
      </c>
      <c r="AJ406" s="60"/>
      <c r="AK406" s="67" t="s">
        <v>450</v>
      </c>
      <c r="AN406" s="60"/>
      <c r="AO406" s="60"/>
      <c r="AP406" s="60"/>
      <c r="AQ406" s="60"/>
      <c r="AR406" s="72"/>
      <c r="AS406" s="60"/>
      <c r="AT406" s="7"/>
      <c r="AU406" s="7"/>
      <c r="AV406" s="92"/>
      <c r="AW406" s="93"/>
      <c r="AX406" s="77"/>
      <c r="AY406" s="80"/>
      <c r="AZ406" s="94"/>
      <c r="BA406" s="94"/>
      <c r="BB406" s="80" t="s">
        <v>519</v>
      </c>
      <c r="BC406" s="95"/>
      <c r="BD406" s="92"/>
      <c r="BE406" s="92"/>
      <c r="BF406" s="92"/>
      <c r="BG406" s="92"/>
      <c r="BH406" s="92"/>
      <c r="BI406" s="92"/>
      <c r="BJ406" s="92"/>
      <c r="BK406" s="92"/>
      <c r="BL406" s="92"/>
      <c r="BM406" s="92"/>
      <c r="BN406" s="92"/>
      <c r="BO406" s="92"/>
      <c r="BP406" s="92"/>
      <c r="BQ406" s="92"/>
      <c r="BS406" s="6"/>
      <c r="BT406" s="11"/>
      <c r="BU406" s="6"/>
      <c r="BV406" s="6"/>
    </row>
    <row r="407" spans="1:74" ht="15.75" x14ac:dyDescent="0.25">
      <c r="A407" s="50" t="s">
        <v>449</v>
      </c>
      <c r="B407" s="52"/>
      <c r="C407" s="7" t="s">
        <v>118</v>
      </c>
      <c r="D407" s="7" t="s">
        <v>1209</v>
      </c>
      <c r="E407" s="7"/>
      <c r="F407" s="55"/>
      <c r="G407" s="6"/>
      <c r="H407" s="6"/>
      <c r="I407" s="10" t="s">
        <v>110</v>
      </c>
      <c r="J407" s="11" t="s">
        <v>1395</v>
      </c>
      <c r="K407" s="102" t="s">
        <v>377</v>
      </c>
      <c r="L407" s="98"/>
      <c r="M407" s="98">
        <v>1000</v>
      </c>
      <c r="N407" s="60" t="s">
        <v>1210</v>
      </c>
      <c r="O407" s="88"/>
      <c r="P407" s="60" t="s">
        <v>1396</v>
      </c>
      <c r="Q407" s="60"/>
      <c r="R407" s="60"/>
      <c r="S407" s="89"/>
      <c r="T407" s="106"/>
      <c r="U407" s="88"/>
      <c r="V407" s="91"/>
      <c r="W407" s="12" t="s">
        <v>515</v>
      </c>
      <c r="X407" s="103"/>
      <c r="Y407" s="6" t="s">
        <v>1397</v>
      </c>
      <c r="Z407" s="64" t="s">
        <v>517</v>
      </c>
      <c r="AA407" s="12">
        <v>51</v>
      </c>
      <c r="AB407" s="6" t="s">
        <v>148</v>
      </c>
      <c r="AC407" s="64">
        <v>3060</v>
      </c>
      <c r="AJ407" s="60"/>
      <c r="AK407" s="67" t="s">
        <v>518</v>
      </c>
      <c r="AN407" s="60"/>
      <c r="AO407" s="60"/>
      <c r="AP407" s="60"/>
      <c r="AQ407" s="60"/>
      <c r="AR407" s="72"/>
      <c r="AS407" s="60"/>
      <c r="AT407" s="7"/>
      <c r="AU407" s="7"/>
      <c r="AV407" s="92"/>
      <c r="AW407" s="93"/>
      <c r="AX407" s="77"/>
      <c r="AY407" s="80"/>
      <c r="AZ407" s="94"/>
      <c r="BA407" s="94"/>
      <c r="BB407" s="80" t="s">
        <v>519</v>
      </c>
      <c r="BC407" s="95"/>
      <c r="BD407" s="92"/>
      <c r="BE407" s="92"/>
      <c r="BF407" s="92"/>
      <c r="BG407" s="92"/>
      <c r="BH407" s="92"/>
      <c r="BI407" s="92"/>
      <c r="BJ407" s="92"/>
      <c r="BK407" s="92"/>
      <c r="BL407" s="92"/>
      <c r="BM407" s="92"/>
      <c r="BN407" s="92"/>
      <c r="BO407" s="92"/>
      <c r="BP407" s="92"/>
      <c r="BQ407" s="92"/>
      <c r="BS407" s="6"/>
      <c r="BT407" s="11"/>
      <c r="BU407" s="6"/>
      <c r="BV407" s="6"/>
    </row>
    <row r="408" spans="1:74" ht="15.75" x14ac:dyDescent="0.25">
      <c r="A408" s="50" t="s">
        <v>449</v>
      </c>
      <c r="B408" s="52"/>
      <c r="C408" s="7" t="s">
        <v>118</v>
      </c>
      <c r="D408" s="7" t="s">
        <v>1209</v>
      </c>
      <c r="E408" s="7"/>
      <c r="F408" s="55"/>
      <c r="G408" s="6"/>
      <c r="H408" s="6"/>
      <c r="I408" s="10" t="s">
        <v>110</v>
      </c>
      <c r="J408" s="11" t="s">
        <v>1398</v>
      </c>
      <c r="K408" s="102" t="s">
        <v>377</v>
      </c>
      <c r="L408" s="98"/>
      <c r="M408" s="98">
        <v>1000</v>
      </c>
      <c r="N408" s="60" t="s">
        <v>1210</v>
      </c>
      <c r="O408" s="88"/>
      <c r="P408" s="60" t="s">
        <v>1399</v>
      </c>
      <c r="Q408" s="60"/>
      <c r="R408" s="60"/>
      <c r="S408" s="89"/>
      <c r="T408" s="106"/>
      <c r="U408" s="88"/>
      <c r="V408" s="91"/>
      <c r="W408" s="12" t="s">
        <v>515</v>
      </c>
      <c r="X408" s="103"/>
      <c r="Y408" s="6" t="s">
        <v>1397</v>
      </c>
      <c r="Z408" s="64" t="s">
        <v>522</v>
      </c>
      <c r="AA408" s="12">
        <v>51</v>
      </c>
      <c r="AB408" s="6" t="s">
        <v>148</v>
      </c>
      <c r="AC408" s="64">
        <v>3084</v>
      </c>
      <c r="AJ408" s="60"/>
      <c r="AK408" s="67" t="s">
        <v>450</v>
      </c>
      <c r="AN408" s="60"/>
      <c r="AO408" s="60"/>
      <c r="AP408" s="60"/>
      <c r="AQ408" s="60"/>
      <c r="AR408" s="72"/>
      <c r="AS408" s="60"/>
      <c r="AT408" s="7"/>
      <c r="AU408" s="7"/>
      <c r="AV408" s="92"/>
      <c r="AW408" s="93"/>
      <c r="AX408" s="77"/>
      <c r="AY408" s="80"/>
      <c r="AZ408" s="94"/>
      <c r="BA408" s="94"/>
      <c r="BB408" s="80" t="s">
        <v>519</v>
      </c>
      <c r="BC408" s="95"/>
      <c r="BD408" s="92"/>
      <c r="BE408" s="92"/>
      <c r="BF408" s="92"/>
      <c r="BG408" s="92"/>
      <c r="BH408" s="92"/>
      <c r="BI408" s="92"/>
      <c r="BJ408" s="92"/>
      <c r="BK408" s="92"/>
      <c r="BL408" s="92"/>
      <c r="BM408" s="92"/>
      <c r="BN408" s="92"/>
      <c r="BO408" s="92"/>
      <c r="BP408" s="92"/>
      <c r="BQ408" s="92"/>
      <c r="BS408" s="6"/>
      <c r="BT408" s="11"/>
      <c r="BU408" s="6"/>
      <c r="BV408" s="6"/>
    </row>
    <row r="409" spans="1:74" ht="15.75" x14ac:dyDescent="0.25">
      <c r="A409" s="50" t="s">
        <v>449</v>
      </c>
      <c r="B409" s="52"/>
      <c r="C409" s="7" t="s">
        <v>118</v>
      </c>
      <c r="D409" s="7" t="s">
        <v>1209</v>
      </c>
      <c r="E409" s="7"/>
      <c r="F409" s="55"/>
      <c r="G409" s="6"/>
      <c r="H409" s="6"/>
      <c r="I409" s="10" t="s">
        <v>110</v>
      </c>
      <c r="J409" s="11" t="s">
        <v>1400</v>
      </c>
      <c r="K409" s="102" t="s">
        <v>377</v>
      </c>
      <c r="L409" s="98"/>
      <c r="M409" s="98">
        <v>1000</v>
      </c>
      <c r="N409" s="60" t="s">
        <v>1210</v>
      </c>
      <c r="O409" s="88"/>
      <c r="P409" s="60" t="s">
        <v>1401</v>
      </c>
      <c r="Q409" s="60"/>
      <c r="R409" s="60"/>
      <c r="S409" s="89"/>
      <c r="T409" s="106"/>
      <c r="U409" s="88"/>
      <c r="V409" s="91"/>
      <c r="W409" s="12" t="s">
        <v>515</v>
      </c>
      <c r="X409" s="103"/>
      <c r="Y409" s="6" t="s">
        <v>1402</v>
      </c>
      <c r="Z409" s="64" t="s">
        <v>517</v>
      </c>
      <c r="AA409" s="12">
        <v>52</v>
      </c>
      <c r="AB409" s="6" t="s">
        <v>148</v>
      </c>
      <c r="AC409" s="64">
        <v>3060</v>
      </c>
      <c r="AJ409" s="60"/>
      <c r="AK409" s="67" t="s">
        <v>518</v>
      </c>
      <c r="AN409" s="60"/>
      <c r="AO409" s="60"/>
      <c r="AP409" s="60"/>
      <c r="AQ409" s="60"/>
      <c r="AR409" s="72"/>
      <c r="AS409" s="60"/>
      <c r="AT409" s="7"/>
      <c r="AU409" s="7"/>
      <c r="AV409" s="92"/>
      <c r="AW409" s="93"/>
      <c r="AX409" s="77"/>
      <c r="AY409" s="80"/>
      <c r="AZ409" s="94"/>
      <c r="BA409" s="94"/>
      <c r="BB409" s="80" t="s">
        <v>519</v>
      </c>
      <c r="BC409" s="95"/>
      <c r="BD409" s="92"/>
      <c r="BE409" s="92"/>
      <c r="BF409" s="92"/>
      <c r="BG409" s="92"/>
      <c r="BH409" s="92"/>
      <c r="BI409" s="92"/>
      <c r="BJ409" s="92"/>
      <c r="BK409" s="92"/>
      <c r="BL409" s="92"/>
      <c r="BM409" s="92"/>
      <c r="BN409" s="92"/>
      <c r="BO409" s="92"/>
      <c r="BP409" s="92"/>
      <c r="BQ409" s="92"/>
      <c r="BS409" s="6"/>
      <c r="BT409" s="11"/>
      <c r="BU409" s="6"/>
      <c r="BV409" s="6"/>
    </row>
    <row r="410" spans="1:74" ht="15.75" x14ac:dyDescent="0.25">
      <c r="A410" s="50" t="s">
        <v>449</v>
      </c>
      <c r="B410" s="52"/>
      <c r="C410" s="7" t="s">
        <v>118</v>
      </c>
      <c r="D410" s="7" t="s">
        <v>1209</v>
      </c>
      <c r="E410" s="7"/>
      <c r="F410" s="55"/>
      <c r="G410" s="6"/>
      <c r="H410" s="6"/>
      <c r="I410" s="10" t="s">
        <v>110</v>
      </c>
      <c r="J410" s="11" t="s">
        <v>1403</v>
      </c>
      <c r="K410" s="102" t="s">
        <v>377</v>
      </c>
      <c r="L410" s="98"/>
      <c r="M410" s="98">
        <v>1000</v>
      </c>
      <c r="N410" s="60" t="s">
        <v>1210</v>
      </c>
      <c r="O410" s="88"/>
      <c r="P410" s="60" t="s">
        <v>1404</v>
      </c>
      <c r="Q410" s="60"/>
      <c r="R410" s="60"/>
      <c r="S410" s="89"/>
      <c r="T410" s="106"/>
      <c r="U410" s="88"/>
      <c r="V410" s="91"/>
      <c r="W410" s="12" t="s">
        <v>515</v>
      </c>
      <c r="X410" s="103"/>
      <c r="Y410" s="6" t="s">
        <v>1402</v>
      </c>
      <c r="Z410" s="64" t="s">
        <v>522</v>
      </c>
      <c r="AA410" s="12">
        <v>52</v>
      </c>
      <c r="AB410" s="6" t="s">
        <v>148</v>
      </c>
      <c r="AC410" s="64">
        <v>3084</v>
      </c>
      <c r="AJ410" s="60"/>
      <c r="AK410" s="67" t="s">
        <v>450</v>
      </c>
      <c r="AN410" s="60"/>
      <c r="AO410" s="60"/>
      <c r="AP410" s="60"/>
      <c r="AQ410" s="60"/>
      <c r="AR410" s="72"/>
      <c r="AS410" s="60"/>
      <c r="AT410" s="7"/>
      <c r="AU410" s="7"/>
      <c r="AV410" s="92"/>
      <c r="AW410" s="93"/>
      <c r="AX410" s="77"/>
      <c r="AY410" s="80"/>
      <c r="AZ410" s="94"/>
      <c r="BA410" s="94"/>
      <c r="BB410" s="80" t="s">
        <v>519</v>
      </c>
      <c r="BC410" s="95"/>
      <c r="BD410" s="92"/>
      <c r="BE410" s="92"/>
      <c r="BF410" s="92"/>
      <c r="BG410" s="92"/>
      <c r="BH410" s="92"/>
      <c r="BI410" s="92"/>
      <c r="BJ410" s="92"/>
      <c r="BK410" s="92"/>
      <c r="BL410" s="92"/>
      <c r="BM410" s="92"/>
      <c r="BN410" s="92"/>
      <c r="BO410" s="92"/>
      <c r="BP410" s="92"/>
      <c r="BQ410" s="92"/>
      <c r="BS410" s="6"/>
      <c r="BT410" s="11"/>
      <c r="BU410" s="6"/>
      <c r="BV410" s="6"/>
    </row>
    <row r="411" spans="1:74" ht="15.75" x14ac:dyDescent="0.25">
      <c r="A411" s="50" t="s">
        <v>449</v>
      </c>
      <c r="B411" s="52"/>
      <c r="C411" s="7" t="s">
        <v>118</v>
      </c>
      <c r="D411" s="7" t="s">
        <v>1209</v>
      </c>
      <c r="E411" s="7"/>
      <c r="F411" s="55"/>
      <c r="G411" s="6"/>
      <c r="H411" s="6"/>
      <c r="I411" s="10" t="s">
        <v>110</v>
      </c>
      <c r="J411" s="11" t="s">
        <v>1405</v>
      </c>
      <c r="K411" s="102" t="s">
        <v>377</v>
      </c>
      <c r="L411" s="98"/>
      <c r="M411" s="98">
        <v>1000</v>
      </c>
      <c r="N411" s="60" t="s">
        <v>1210</v>
      </c>
      <c r="O411" s="88"/>
      <c r="P411" s="60" t="s">
        <v>1406</v>
      </c>
      <c r="Q411" s="60"/>
      <c r="R411" s="60"/>
      <c r="S411" s="89"/>
      <c r="T411" s="106"/>
      <c r="U411" s="88"/>
      <c r="V411" s="91"/>
      <c r="W411" s="12" t="s">
        <v>515</v>
      </c>
      <c r="X411" s="103"/>
      <c r="Y411" s="6" t="s">
        <v>1407</v>
      </c>
      <c r="Z411" s="64" t="s">
        <v>517</v>
      </c>
      <c r="AA411" s="12">
        <v>53</v>
      </c>
      <c r="AB411" s="6" t="s">
        <v>148</v>
      </c>
      <c r="AC411" s="64">
        <v>3060</v>
      </c>
      <c r="AJ411" s="60"/>
      <c r="AK411" s="67" t="s">
        <v>518</v>
      </c>
      <c r="AN411" s="60"/>
      <c r="AO411" s="60"/>
      <c r="AP411" s="60"/>
      <c r="AQ411" s="60"/>
      <c r="AR411" s="72"/>
      <c r="AS411" s="60"/>
      <c r="AT411" s="7"/>
      <c r="AU411" s="7"/>
      <c r="AV411" s="92"/>
      <c r="AW411" s="93"/>
      <c r="AX411" s="77"/>
      <c r="AY411" s="80"/>
      <c r="AZ411" s="94"/>
      <c r="BA411" s="94"/>
      <c r="BB411" s="80" t="s">
        <v>519</v>
      </c>
      <c r="BC411" s="95"/>
      <c r="BD411" s="92"/>
      <c r="BE411" s="92"/>
      <c r="BF411" s="92"/>
      <c r="BG411" s="92"/>
      <c r="BH411" s="92"/>
      <c r="BI411" s="92"/>
      <c r="BJ411" s="92"/>
      <c r="BK411" s="92"/>
      <c r="BL411" s="92"/>
      <c r="BM411" s="92"/>
      <c r="BN411" s="92"/>
      <c r="BO411" s="92"/>
      <c r="BP411" s="92"/>
      <c r="BQ411" s="92"/>
      <c r="BS411" s="6"/>
      <c r="BT411" s="11"/>
      <c r="BU411" s="6"/>
      <c r="BV411" s="6"/>
    </row>
    <row r="412" spans="1:74" ht="15.75" x14ac:dyDescent="0.25">
      <c r="A412" s="50" t="s">
        <v>449</v>
      </c>
      <c r="B412" s="52"/>
      <c r="C412" s="7" t="s">
        <v>118</v>
      </c>
      <c r="D412" s="7" t="s">
        <v>1209</v>
      </c>
      <c r="E412" s="7"/>
      <c r="F412" s="55"/>
      <c r="G412" s="6"/>
      <c r="H412" s="6"/>
      <c r="I412" s="10" t="s">
        <v>110</v>
      </c>
      <c r="J412" s="11" t="s">
        <v>1408</v>
      </c>
      <c r="K412" s="102" t="s">
        <v>377</v>
      </c>
      <c r="L412" s="98"/>
      <c r="M412" s="98">
        <v>1000</v>
      </c>
      <c r="N412" s="60" t="s">
        <v>1210</v>
      </c>
      <c r="O412" s="88"/>
      <c r="P412" s="60" t="s">
        <v>1409</v>
      </c>
      <c r="Q412" s="60"/>
      <c r="R412" s="60"/>
      <c r="S412" s="89"/>
      <c r="T412" s="106"/>
      <c r="U412" s="88"/>
      <c r="V412" s="91"/>
      <c r="W412" s="12" t="s">
        <v>515</v>
      </c>
      <c r="X412" s="103"/>
      <c r="Y412" s="6" t="s">
        <v>1407</v>
      </c>
      <c r="Z412" s="64" t="s">
        <v>522</v>
      </c>
      <c r="AA412" s="12">
        <v>53</v>
      </c>
      <c r="AB412" s="6" t="s">
        <v>148</v>
      </c>
      <c r="AC412" s="64">
        <v>3084</v>
      </c>
      <c r="AJ412" s="60"/>
      <c r="AK412" s="67" t="s">
        <v>450</v>
      </c>
      <c r="AN412" s="60"/>
      <c r="AO412" s="60"/>
      <c r="AP412" s="60"/>
      <c r="AQ412" s="60"/>
      <c r="AR412" s="72"/>
      <c r="AS412" s="60"/>
      <c r="AT412" s="7"/>
      <c r="AU412" s="7"/>
      <c r="AV412" s="92"/>
      <c r="AW412" s="93"/>
      <c r="AX412" s="77"/>
      <c r="AY412" s="80"/>
      <c r="AZ412" s="94"/>
      <c r="BA412" s="94"/>
      <c r="BB412" s="80" t="s">
        <v>519</v>
      </c>
      <c r="BC412" s="95"/>
      <c r="BD412" s="92"/>
      <c r="BE412" s="92"/>
      <c r="BF412" s="92"/>
      <c r="BG412" s="92"/>
      <c r="BH412" s="92"/>
      <c r="BI412" s="92"/>
      <c r="BJ412" s="92"/>
      <c r="BK412" s="92"/>
      <c r="BL412" s="92"/>
      <c r="BM412" s="92"/>
      <c r="BN412" s="92"/>
      <c r="BO412" s="92"/>
      <c r="BP412" s="92"/>
      <c r="BQ412" s="92"/>
      <c r="BS412" s="6"/>
      <c r="BT412" s="11"/>
      <c r="BU412" s="6"/>
      <c r="BV412" s="6"/>
    </row>
    <row r="413" spans="1:74" ht="15.75" x14ac:dyDescent="0.25">
      <c r="A413" s="50" t="s">
        <v>449</v>
      </c>
      <c r="B413" s="52"/>
      <c r="C413" s="7" t="s">
        <v>118</v>
      </c>
      <c r="D413" s="7" t="s">
        <v>1209</v>
      </c>
      <c r="E413" s="7"/>
      <c r="F413" s="55"/>
      <c r="G413" s="6"/>
      <c r="H413" s="6"/>
      <c r="I413" s="10" t="s">
        <v>110</v>
      </c>
      <c r="J413" s="11" t="s">
        <v>1410</v>
      </c>
      <c r="K413" s="102" t="s">
        <v>377</v>
      </c>
      <c r="L413" s="98"/>
      <c r="M413" s="98">
        <v>1000</v>
      </c>
      <c r="N413" s="60" t="s">
        <v>1210</v>
      </c>
      <c r="O413" s="88"/>
      <c r="P413" s="60" t="s">
        <v>1411</v>
      </c>
      <c r="Q413" s="60"/>
      <c r="R413" s="60"/>
      <c r="S413" s="89"/>
      <c r="T413" s="106"/>
      <c r="U413" s="88"/>
      <c r="V413" s="91"/>
      <c r="W413" s="12" t="s">
        <v>515</v>
      </c>
      <c r="X413" s="103"/>
      <c r="Y413" s="6" t="s">
        <v>1412</v>
      </c>
      <c r="Z413" s="64" t="s">
        <v>517</v>
      </c>
      <c r="AA413" s="12">
        <v>54</v>
      </c>
      <c r="AB413" s="6" t="s">
        <v>148</v>
      </c>
      <c r="AC413" s="64">
        <v>3060</v>
      </c>
      <c r="AJ413" s="60"/>
      <c r="AK413" s="67" t="s">
        <v>518</v>
      </c>
      <c r="AN413" s="60"/>
      <c r="AO413" s="60"/>
      <c r="AP413" s="60"/>
      <c r="AQ413" s="60"/>
      <c r="AR413" s="72"/>
      <c r="AS413" s="60"/>
      <c r="AT413" s="7"/>
      <c r="AU413" s="7"/>
      <c r="AV413" s="92"/>
      <c r="AW413" s="93"/>
      <c r="AX413" s="77"/>
      <c r="AY413" s="80"/>
      <c r="AZ413" s="94"/>
      <c r="BA413" s="94"/>
      <c r="BB413" s="80" t="s">
        <v>519</v>
      </c>
      <c r="BC413" s="95"/>
      <c r="BD413" s="92"/>
      <c r="BE413" s="92"/>
      <c r="BF413" s="92"/>
      <c r="BG413" s="92"/>
      <c r="BH413" s="92"/>
      <c r="BI413" s="92"/>
      <c r="BJ413" s="92"/>
      <c r="BK413" s="92"/>
      <c r="BL413" s="92"/>
      <c r="BM413" s="92"/>
      <c r="BN413" s="92"/>
      <c r="BO413" s="92"/>
      <c r="BP413" s="92"/>
      <c r="BQ413" s="92"/>
      <c r="BS413" s="6"/>
      <c r="BT413" s="11"/>
      <c r="BU413" s="6"/>
      <c r="BV413" s="6"/>
    </row>
    <row r="414" spans="1:74" ht="15.75" x14ac:dyDescent="0.25">
      <c r="A414" s="50" t="s">
        <v>449</v>
      </c>
      <c r="B414" s="52"/>
      <c r="C414" s="7" t="s">
        <v>118</v>
      </c>
      <c r="D414" s="7" t="s">
        <v>1209</v>
      </c>
      <c r="E414" s="7"/>
      <c r="F414" s="55"/>
      <c r="G414" s="6"/>
      <c r="H414" s="6"/>
      <c r="I414" s="10" t="s">
        <v>110</v>
      </c>
      <c r="J414" s="11" t="s">
        <v>1413</v>
      </c>
      <c r="K414" s="102" t="s">
        <v>377</v>
      </c>
      <c r="L414" s="98"/>
      <c r="M414" s="98">
        <v>1000</v>
      </c>
      <c r="N414" s="60" t="s">
        <v>1210</v>
      </c>
      <c r="O414" s="88"/>
      <c r="P414" s="60" t="s">
        <v>1414</v>
      </c>
      <c r="Q414" s="60"/>
      <c r="R414" s="60"/>
      <c r="S414" s="89"/>
      <c r="T414" s="106"/>
      <c r="U414" s="88"/>
      <c r="V414" s="91"/>
      <c r="W414" s="12" t="s">
        <v>515</v>
      </c>
      <c r="X414" s="103"/>
      <c r="Y414" s="6" t="s">
        <v>1412</v>
      </c>
      <c r="Z414" s="64" t="s">
        <v>522</v>
      </c>
      <c r="AA414" s="12">
        <v>54</v>
      </c>
      <c r="AB414" s="6" t="s">
        <v>148</v>
      </c>
      <c r="AC414" s="64">
        <v>3084</v>
      </c>
      <c r="AJ414" s="60"/>
      <c r="AK414" s="67" t="s">
        <v>450</v>
      </c>
      <c r="AN414" s="60"/>
      <c r="AO414" s="60"/>
      <c r="AP414" s="60"/>
      <c r="AQ414" s="60"/>
      <c r="AR414" s="72"/>
      <c r="AS414" s="60"/>
      <c r="AT414" s="7"/>
      <c r="AU414" s="7"/>
      <c r="AV414" s="92"/>
      <c r="AW414" s="93"/>
      <c r="AX414" s="77"/>
      <c r="AY414" s="80"/>
      <c r="AZ414" s="94"/>
      <c r="BA414" s="94"/>
      <c r="BB414" s="80" t="s">
        <v>519</v>
      </c>
      <c r="BC414" s="95"/>
      <c r="BD414" s="92"/>
      <c r="BE414" s="92"/>
      <c r="BF414" s="92"/>
      <c r="BG414" s="92"/>
      <c r="BH414" s="92"/>
      <c r="BI414" s="92"/>
      <c r="BJ414" s="92"/>
      <c r="BK414" s="92"/>
      <c r="BL414" s="92"/>
      <c r="BM414" s="92"/>
      <c r="BN414" s="92"/>
      <c r="BO414" s="92"/>
      <c r="BP414" s="92"/>
      <c r="BQ414" s="92"/>
      <c r="BS414" s="6"/>
      <c r="BT414" s="11"/>
      <c r="BU414" s="6"/>
      <c r="BV414" s="6"/>
    </row>
    <row r="415" spans="1:74" ht="15.75" x14ac:dyDescent="0.25">
      <c r="A415" s="50" t="s">
        <v>449</v>
      </c>
      <c r="B415" s="52"/>
      <c r="C415" s="7" t="s">
        <v>118</v>
      </c>
      <c r="D415" s="7" t="s">
        <v>1209</v>
      </c>
      <c r="E415" s="7"/>
      <c r="F415" s="55"/>
      <c r="G415" s="6"/>
      <c r="H415" s="6"/>
      <c r="I415" s="10" t="s">
        <v>110</v>
      </c>
      <c r="J415" s="11" t="s">
        <v>1415</v>
      </c>
      <c r="K415" s="102" t="s">
        <v>377</v>
      </c>
      <c r="L415" s="98"/>
      <c r="M415" s="98">
        <v>1000</v>
      </c>
      <c r="N415" s="60" t="s">
        <v>1210</v>
      </c>
      <c r="O415" s="88"/>
      <c r="P415" s="60" t="s">
        <v>1416</v>
      </c>
      <c r="Q415" s="60"/>
      <c r="R415" s="60"/>
      <c r="S415" s="89"/>
      <c r="T415" s="106"/>
      <c r="U415" s="88"/>
      <c r="V415" s="91"/>
      <c r="W415" s="12" t="s">
        <v>515</v>
      </c>
      <c r="X415" s="103"/>
      <c r="Y415" s="6" t="s">
        <v>1417</v>
      </c>
      <c r="Z415" s="64" t="s">
        <v>517</v>
      </c>
      <c r="AA415" s="12">
        <v>55</v>
      </c>
      <c r="AB415" s="6" t="s">
        <v>148</v>
      </c>
      <c r="AC415" s="64">
        <v>3060</v>
      </c>
      <c r="AJ415" s="60"/>
      <c r="AK415" s="67" t="s">
        <v>518</v>
      </c>
      <c r="AN415" s="60"/>
      <c r="AO415" s="60"/>
      <c r="AP415" s="60"/>
      <c r="AQ415" s="60"/>
      <c r="AR415" s="72"/>
      <c r="AS415" s="60"/>
      <c r="AT415" s="7"/>
      <c r="AU415" s="7"/>
      <c r="AV415" s="92"/>
      <c r="AW415" s="93"/>
      <c r="AX415" s="77"/>
      <c r="AY415" s="80"/>
      <c r="AZ415" s="94"/>
      <c r="BA415" s="94"/>
      <c r="BB415" s="80" t="s">
        <v>519</v>
      </c>
      <c r="BC415" s="95"/>
      <c r="BD415" s="92"/>
      <c r="BE415" s="92"/>
      <c r="BF415" s="92"/>
      <c r="BG415" s="92"/>
      <c r="BH415" s="92"/>
      <c r="BI415" s="92"/>
      <c r="BJ415" s="92"/>
      <c r="BK415" s="92"/>
      <c r="BL415" s="92"/>
      <c r="BM415" s="92"/>
      <c r="BN415" s="92"/>
      <c r="BO415" s="92"/>
      <c r="BP415" s="92"/>
      <c r="BQ415" s="92"/>
      <c r="BS415" s="6"/>
      <c r="BT415" s="11"/>
      <c r="BU415" s="6"/>
      <c r="BV415" s="6"/>
    </row>
    <row r="416" spans="1:74" ht="15.75" x14ac:dyDescent="0.25">
      <c r="A416" s="50" t="s">
        <v>449</v>
      </c>
      <c r="B416" s="52"/>
      <c r="C416" s="7" t="s">
        <v>118</v>
      </c>
      <c r="D416" s="7" t="s">
        <v>1209</v>
      </c>
      <c r="E416" s="7"/>
      <c r="F416" s="55"/>
      <c r="G416" s="6"/>
      <c r="H416" s="6"/>
      <c r="I416" s="10" t="s">
        <v>110</v>
      </c>
      <c r="J416" s="11" t="s">
        <v>1418</v>
      </c>
      <c r="K416" s="102" t="s">
        <v>377</v>
      </c>
      <c r="L416" s="98"/>
      <c r="M416" s="98">
        <v>1000</v>
      </c>
      <c r="N416" s="60" t="s">
        <v>1210</v>
      </c>
      <c r="O416" s="88"/>
      <c r="P416" s="60" t="s">
        <v>1419</v>
      </c>
      <c r="Q416" s="60"/>
      <c r="R416" s="60"/>
      <c r="S416" s="89"/>
      <c r="T416" s="106"/>
      <c r="U416" s="88"/>
      <c r="V416" s="91"/>
      <c r="W416" s="12" t="s">
        <v>515</v>
      </c>
      <c r="X416" s="103"/>
      <c r="Y416" s="6" t="s">
        <v>1417</v>
      </c>
      <c r="Z416" s="64" t="s">
        <v>522</v>
      </c>
      <c r="AA416" s="12">
        <v>55</v>
      </c>
      <c r="AB416" s="6" t="s">
        <v>148</v>
      </c>
      <c r="AC416" s="64">
        <v>3084</v>
      </c>
      <c r="AJ416" s="60"/>
      <c r="AK416" s="67" t="s">
        <v>450</v>
      </c>
      <c r="AN416" s="60"/>
      <c r="AO416" s="60"/>
      <c r="AP416" s="60"/>
      <c r="AQ416" s="60"/>
      <c r="AR416" s="72"/>
      <c r="AS416" s="60"/>
      <c r="AT416" s="7"/>
      <c r="AU416" s="7"/>
      <c r="AV416" s="92"/>
      <c r="AW416" s="93"/>
      <c r="AX416" s="77"/>
      <c r="AY416" s="80"/>
      <c r="AZ416" s="94"/>
      <c r="BA416" s="94"/>
      <c r="BB416" s="80" t="s">
        <v>519</v>
      </c>
      <c r="BC416" s="95"/>
      <c r="BD416" s="92"/>
      <c r="BE416" s="92"/>
      <c r="BF416" s="92"/>
      <c r="BG416" s="92"/>
      <c r="BH416" s="92"/>
      <c r="BI416" s="92"/>
      <c r="BJ416" s="92"/>
      <c r="BK416" s="92"/>
      <c r="BL416" s="92"/>
      <c r="BM416" s="92"/>
      <c r="BN416" s="92"/>
      <c r="BO416" s="92"/>
      <c r="BP416" s="92"/>
      <c r="BQ416" s="92"/>
      <c r="BS416" s="6"/>
      <c r="BT416" s="11"/>
      <c r="BU416" s="6"/>
      <c r="BV416" s="6"/>
    </row>
    <row r="417" spans="1:74" ht="15.75" x14ac:dyDescent="0.25">
      <c r="A417" s="50" t="s">
        <v>449</v>
      </c>
      <c r="B417" s="52"/>
      <c r="C417" s="7" t="s">
        <v>118</v>
      </c>
      <c r="D417" s="7" t="s">
        <v>1209</v>
      </c>
      <c r="E417" s="7"/>
      <c r="F417" s="55"/>
      <c r="G417" s="6"/>
      <c r="H417" s="6"/>
      <c r="I417" s="10" t="s">
        <v>110</v>
      </c>
      <c r="J417" s="11" t="s">
        <v>1420</v>
      </c>
      <c r="K417" s="102" t="s">
        <v>377</v>
      </c>
      <c r="L417" s="98"/>
      <c r="M417" s="98">
        <v>1000</v>
      </c>
      <c r="N417" s="60" t="s">
        <v>1210</v>
      </c>
      <c r="O417" s="88"/>
      <c r="P417" s="60" t="s">
        <v>1421</v>
      </c>
      <c r="Q417" s="60"/>
      <c r="R417" s="60"/>
      <c r="S417" s="89"/>
      <c r="T417" s="106"/>
      <c r="U417" s="88"/>
      <c r="V417" s="91"/>
      <c r="W417" s="12" t="s">
        <v>515</v>
      </c>
      <c r="X417" s="103"/>
      <c r="Y417" s="6" t="s">
        <v>1422</v>
      </c>
      <c r="Z417" s="64" t="s">
        <v>517</v>
      </c>
      <c r="AA417" s="12">
        <v>56</v>
      </c>
      <c r="AB417" s="6" t="s">
        <v>148</v>
      </c>
      <c r="AC417" s="64">
        <v>3060</v>
      </c>
      <c r="AJ417" s="60"/>
      <c r="AK417" s="67" t="s">
        <v>518</v>
      </c>
      <c r="AN417" s="60"/>
      <c r="AO417" s="60"/>
      <c r="AP417" s="60"/>
      <c r="AQ417" s="60"/>
      <c r="AR417" s="72"/>
      <c r="AS417" s="60"/>
      <c r="AT417" s="7"/>
      <c r="AU417" s="7"/>
      <c r="AV417" s="92"/>
      <c r="AW417" s="93"/>
      <c r="AX417" s="77"/>
      <c r="AY417" s="80"/>
      <c r="AZ417" s="94"/>
      <c r="BA417" s="94"/>
      <c r="BB417" s="80" t="s">
        <v>519</v>
      </c>
      <c r="BC417" s="95"/>
      <c r="BD417" s="92"/>
      <c r="BE417" s="92"/>
      <c r="BF417" s="92"/>
      <c r="BG417" s="92"/>
      <c r="BH417" s="92"/>
      <c r="BI417" s="92"/>
      <c r="BJ417" s="92"/>
      <c r="BK417" s="92"/>
      <c r="BL417" s="92"/>
      <c r="BM417" s="92"/>
      <c r="BN417" s="92"/>
      <c r="BO417" s="92"/>
      <c r="BP417" s="92"/>
      <c r="BQ417" s="92"/>
      <c r="BS417" s="6"/>
      <c r="BT417" s="11"/>
      <c r="BU417" s="6"/>
      <c r="BV417" s="6"/>
    </row>
    <row r="418" spans="1:74" ht="15.75" x14ac:dyDescent="0.25">
      <c r="A418" s="50" t="s">
        <v>449</v>
      </c>
      <c r="B418" s="52"/>
      <c r="C418" s="7" t="s">
        <v>118</v>
      </c>
      <c r="D418" s="7" t="s">
        <v>1209</v>
      </c>
      <c r="E418" s="7"/>
      <c r="F418" s="55"/>
      <c r="G418" s="6"/>
      <c r="H418" s="6"/>
      <c r="I418" s="10" t="s">
        <v>110</v>
      </c>
      <c r="J418" s="11" t="s">
        <v>1423</v>
      </c>
      <c r="K418" s="102" t="s">
        <v>377</v>
      </c>
      <c r="L418" s="98"/>
      <c r="M418" s="98">
        <v>1000</v>
      </c>
      <c r="N418" s="60" t="s">
        <v>1210</v>
      </c>
      <c r="O418" s="88"/>
      <c r="P418" s="60" t="s">
        <v>1424</v>
      </c>
      <c r="Q418" s="60"/>
      <c r="R418" s="60"/>
      <c r="S418" s="89"/>
      <c r="T418" s="106"/>
      <c r="U418" s="88"/>
      <c r="V418" s="91"/>
      <c r="W418" s="12" t="s">
        <v>515</v>
      </c>
      <c r="X418" s="103"/>
      <c r="Y418" s="6" t="s">
        <v>1422</v>
      </c>
      <c r="Z418" s="64" t="s">
        <v>522</v>
      </c>
      <c r="AA418" s="12">
        <v>56</v>
      </c>
      <c r="AB418" s="6" t="s">
        <v>148</v>
      </c>
      <c r="AC418" s="64">
        <v>3084</v>
      </c>
      <c r="AJ418" s="60"/>
      <c r="AK418" s="67" t="s">
        <v>450</v>
      </c>
      <c r="AN418" s="60"/>
      <c r="AO418" s="60"/>
      <c r="AP418" s="60"/>
      <c r="AQ418" s="60"/>
      <c r="AR418" s="72"/>
      <c r="AS418" s="60"/>
      <c r="AT418" s="7"/>
      <c r="AU418" s="7"/>
      <c r="AV418" s="92"/>
      <c r="AW418" s="93"/>
      <c r="AX418" s="77"/>
      <c r="AY418" s="80"/>
      <c r="AZ418" s="94"/>
      <c r="BA418" s="94"/>
      <c r="BB418" s="80" t="s">
        <v>519</v>
      </c>
      <c r="BC418" s="95"/>
      <c r="BD418" s="92"/>
      <c r="BE418" s="92"/>
      <c r="BF418" s="92"/>
      <c r="BG418" s="92"/>
      <c r="BH418" s="92"/>
      <c r="BI418" s="92"/>
      <c r="BJ418" s="92"/>
      <c r="BK418" s="92"/>
      <c r="BL418" s="92"/>
      <c r="BM418" s="92"/>
      <c r="BN418" s="92"/>
      <c r="BO418" s="92"/>
      <c r="BP418" s="92"/>
      <c r="BQ418" s="92"/>
      <c r="BS418" s="6"/>
      <c r="BT418" s="11"/>
      <c r="BU418" s="6"/>
      <c r="BV418" s="6"/>
    </row>
    <row r="419" spans="1:74" ht="15.75" x14ac:dyDescent="0.25">
      <c r="A419" s="50" t="s">
        <v>449</v>
      </c>
      <c r="B419" s="52"/>
      <c r="C419" s="7" t="s">
        <v>118</v>
      </c>
      <c r="D419" s="7" t="s">
        <v>1209</v>
      </c>
      <c r="E419" s="7"/>
      <c r="F419" s="55"/>
      <c r="G419" s="6"/>
      <c r="H419" s="6"/>
      <c r="I419" s="10" t="s">
        <v>110</v>
      </c>
      <c r="J419" s="11" t="s">
        <v>1425</v>
      </c>
      <c r="K419" s="102" t="s">
        <v>377</v>
      </c>
      <c r="L419" s="98"/>
      <c r="M419" s="98">
        <v>1000</v>
      </c>
      <c r="N419" s="60" t="s">
        <v>1210</v>
      </c>
      <c r="O419" s="88"/>
      <c r="P419" s="60" t="s">
        <v>1426</v>
      </c>
      <c r="Q419" s="60"/>
      <c r="R419" s="60"/>
      <c r="S419" s="89"/>
      <c r="T419" s="106"/>
      <c r="U419" s="88"/>
      <c r="V419" s="91"/>
      <c r="W419" s="12" t="s">
        <v>515</v>
      </c>
      <c r="X419" s="103"/>
      <c r="Y419" s="6" t="s">
        <v>1427</v>
      </c>
      <c r="Z419" s="64" t="s">
        <v>517</v>
      </c>
      <c r="AA419" s="12">
        <v>57</v>
      </c>
      <c r="AB419" s="6" t="s">
        <v>148</v>
      </c>
      <c r="AC419" s="64">
        <v>3060</v>
      </c>
      <c r="AJ419" s="60"/>
      <c r="AK419" s="67" t="s">
        <v>518</v>
      </c>
      <c r="AN419" s="60"/>
      <c r="AO419" s="60"/>
      <c r="AP419" s="60"/>
      <c r="AQ419" s="60"/>
      <c r="AR419" s="72"/>
      <c r="AS419" s="60"/>
      <c r="AT419" s="7"/>
      <c r="AU419" s="7"/>
      <c r="AV419" s="92"/>
      <c r="AW419" s="93"/>
      <c r="AX419" s="77"/>
      <c r="AY419" s="80"/>
      <c r="AZ419" s="94"/>
      <c r="BA419" s="94"/>
      <c r="BB419" s="80" t="s">
        <v>519</v>
      </c>
      <c r="BC419" s="95"/>
      <c r="BD419" s="92"/>
      <c r="BE419" s="92"/>
      <c r="BF419" s="92"/>
      <c r="BG419" s="92"/>
      <c r="BH419" s="92"/>
      <c r="BI419" s="92"/>
      <c r="BJ419" s="92"/>
      <c r="BK419" s="92"/>
      <c r="BL419" s="92"/>
      <c r="BM419" s="92"/>
      <c r="BN419" s="92"/>
      <c r="BO419" s="92"/>
      <c r="BP419" s="92"/>
      <c r="BQ419" s="92"/>
      <c r="BS419" s="6"/>
      <c r="BT419" s="11"/>
      <c r="BU419" s="6"/>
      <c r="BV419" s="6"/>
    </row>
    <row r="420" spans="1:74" ht="15.75" x14ac:dyDescent="0.25">
      <c r="A420" s="50" t="s">
        <v>449</v>
      </c>
      <c r="B420" s="52"/>
      <c r="C420" s="7" t="s">
        <v>118</v>
      </c>
      <c r="D420" s="7" t="s">
        <v>1209</v>
      </c>
      <c r="E420" s="7"/>
      <c r="F420" s="55"/>
      <c r="G420" s="6"/>
      <c r="H420" s="6"/>
      <c r="I420" s="10" t="s">
        <v>110</v>
      </c>
      <c r="J420" s="11" t="s">
        <v>1428</v>
      </c>
      <c r="K420" s="102" t="s">
        <v>377</v>
      </c>
      <c r="L420" s="98"/>
      <c r="M420" s="98">
        <v>1000</v>
      </c>
      <c r="N420" s="60" t="s">
        <v>1210</v>
      </c>
      <c r="O420" s="88"/>
      <c r="P420" s="60" t="s">
        <v>1429</v>
      </c>
      <c r="Q420" s="60"/>
      <c r="R420" s="60"/>
      <c r="S420" s="89"/>
      <c r="T420" s="106"/>
      <c r="U420" s="88"/>
      <c r="V420" s="91"/>
      <c r="W420" s="12" t="s">
        <v>515</v>
      </c>
      <c r="X420" s="103"/>
      <c r="Y420" s="6" t="s">
        <v>1427</v>
      </c>
      <c r="Z420" s="64" t="s">
        <v>522</v>
      </c>
      <c r="AA420" s="12">
        <v>57</v>
      </c>
      <c r="AB420" s="6" t="s">
        <v>148</v>
      </c>
      <c r="AC420" s="64">
        <v>3084</v>
      </c>
      <c r="AJ420" s="60"/>
      <c r="AK420" s="67" t="s">
        <v>450</v>
      </c>
      <c r="AN420" s="60"/>
      <c r="AO420" s="60"/>
      <c r="AP420" s="60"/>
      <c r="AQ420" s="60"/>
      <c r="AR420" s="72"/>
      <c r="AS420" s="60"/>
      <c r="AT420" s="7"/>
      <c r="AU420" s="7"/>
      <c r="AV420" s="92"/>
      <c r="AW420" s="93"/>
      <c r="AX420" s="77"/>
      <c r="AY420" s="80"/>
      <c r="AZ420" s="94"/>
      <c r="BA420" s="94"/>
      <c r="BB420" s="80" t="s">
        <v>519</v>
      </c>
      <c r="BC420" s="95"/>
      <c r="BD420" s="92"/>
      <c r="BE420" s="92"/>
      <c r="BF420" s="92"/>
      <c r="BG420" s="92"/>
      <c r="BH420" s="92"/>
      <c r="BI420" s="92"/>
      <c r="BJ420" s="92"/>
      <c r="BK420" s="92"/>
      <c r="BL420" s="92"/>
      <c r="BM420" s="92"/>
      <c r="BN420" s="92"/>
      <c r="BO420" s="92"/>
      <c r="BP420" s="92"/>
      <c r="BQ420" s="92"/>
      <c r="BS420" s="6"/>
      <c r="BT420" s="11"/>
      <c r="BU420" s="6"/>
      <c r="BV420" s="6"/>
    </row>
    <row r="421" spans="1:74" ht="15.75" x14ac:dyDescent="0.25">
      <c r="A421" s="50" t="s">
        <v>449</v>
      </c>
      <c r="B421" s="52"/>
      <c r="C421" s="7" t="s">
        <v>118</v>
      </c>
      <c r="D421" s="7" t="s">
        <v>1209</v>
      </c>
      <c r="E421" s="7"/>
      <c r="F421" s="55"/>
      <c r="G421" s="6"/>
      <c r="H421" s="6"/>
      <c r="I421" s="10" t="s">
        <v>110</v>
      </c>
      <c r="J421" s="11" t="s">
        <v>1430</v>
      </c>
      <c r="K421" s="102" t="s">
        <v>377</v>
      </c>
      <c r="L421" s="98"/>
      <c r="M421" s="98">
        <v>1000</v>
      </c>
      <c r="N421" s="60" t="s">
        <v>1210</v>
      </c>
      <c r="O421" s="88"/>
      <c r="P421" s="60" t="s">
        <v>1431</v>
      </c>
      <c r="Q421" s="60"/>
      <c r="R421" s="60"/>
      <c r="S421" s="89"/>
      <c r="T421" s="106"/>
      <c r="U421" s="88"/>
      <c r="V421" s="91"/>
      <c r="W421" s="12" t="s">
        <v>515</v>
      </c>
      <c r="X421" s="103"/>
      <c r="Y421" s="6" t="s">
        <v>1432</v>
      </c>
      <c r="Z421" s="64" t="s">
        <v>517</v>
      </c>
      <c r="AA421" s="12">
        <v>58</v>
      </c>
      <c r="AB421" s="6" t="s">
        <v>148</v>
      </c>
      <c r="AC421" s="64">
        <v>3060</v>
      </c>
      <c r="AJ421" s="60"/>
      <c r="AK421" s="67" t="s">
        <v>518</v>
      </c>
      <c r="AN421" s="60"/>
      <c r="AO421" s="60"/>
      <c r="AP421" s="60"/>
      <c r="AQ421" s="60"/>
      <c r="AR421" s="72"/>
      <c r="AS421" s="60"/>
      <c r="AT421" s="7"/>
      <c r="AU421" s="7"/>
      <c r="AV421" s="92"/>
      <c r="AW421" s="93"/>
      <c r="AX421" s="77"/>
      <c r="AY421" s="80"/>
      <c r="AZ421" s="94"/>
      <c r="BA421" s="94"/>
      <c r="BB421" s="80" t="s">
        <v>519</v>
      </c>
      <c r="BC421" s="95"/>
      <c r="BD421" s="92"/>
      <c r="BE421" s="92"/>
      <c r="BF421" s="92"/>
      <c r="BG421" s="92"/>
      <c r="BH421" s="92"/>
      <c r="BI421" s="92"/>
      <c r="BJ421" s="92"/>
      <c r="BK421" s="92"/>
      <c r="BL421" s="92"/>
      <c r="BM421" s="92"/>
      <c r="BN421" s="92"/>
      <c r="BO421" s="92"/>
      <c r="BP421" s="92"/>
      <c r="BQ421" s="92"/>
      <c r="BS421" s="6"/>
      <c r="BT421" s="11"/>
      <c r="BU421" s="6"/>
      <c r="BV421" s="6"/>
    </row>
    <row r="422" spans="1:74" ht="15.75" x14ac:dyDescent="0.25">
      <c r="A422" s="50" t="s">
        <v>449</v>
      </c>
      <c r="B422" s="52"/>
      <c r="C422" s="7" t="s">
        <v>118</v>
      </c>
      <c r="D422" s="7" t="s">
        <v>1209</v>
      </c>
      <c r="E422" s="7"/>
      <c r="F422" s="55"/>
      <c r="G422" s="6"/>
      <c r="H422" s="6"/>
      <c r="I422" s="10" t="s">
        <v>110</v>
      </c>
      <c r="J422" s="11" t="s">
        <v>1433</v>
      </c>
      <c r="K422" s="102" t="s">
        <v>377</v>
      </c>
      <c r="L422" s="98"/>
      <c r="M422" s="98">
        <v>1000</v>
      </c>
      <c r="N422" s="60" t="s">
        <v>1210</v>
      </c>
      <c r="O422" s="88"/>
      <c r="P422" s="60" t="s">
        <v>1434</v>
      </c>
      <c r="Q422" s="60"/>
      <c r="R422" s="60"/>
      <c r="S422" s="89"/>
      <c r="T422" s="106"/>
      <c r="U422" s="88"/>
      <c r="V422" s="91"/>
      <c r="W422" s="12" t="s">
        <v>515</v>
      </c>
      <c r="X422" s="103"/>
      <c r="Y422" s="6" t="s">
        <v>1432</v>
      </c>
      <c r="Z422" s="64" t="s">
        <v>522</v>
      </c>
      <c r="AA422" s="12">
        <v>58</v>
      </c>
      <c r="AB422" s="6" t="s">
        <v>148</v>
      </c>
      <c r="AC422" s="64">
        <v>3084</v>
      </c>
      <c r="AJ422" s="60"/>
      <c r="AK422" s="67" t="s">
        <v>450</v>
      </c>
      <c r="AN422" s="60"/>
      <c r="AO422" s="60"/>
      <c r="AP422" s="60"/>
      <c r="AQ422" s="60"/>
      <c r="AR422" s="72"/>
      <c r="AS422" s="60"/>
      <c r="AT422" s="7"/>
      <c r="AU422" s="7"/>
      <c r="AV422" s="92"/>
      <c r="AW422" s="93"/>
      <c r="AX422" s="77"/>
      <c r="AY422" s="80"/>
      <c r="AZ422" s="94"/>
      <c r="BA422" s="94"/>
      <c r="BB422" s="80" t="s">
        <v>519</v>
      </c>
      <c r="BC422" s="95"/>
      <c r="BD422" s="92"/>
      <c r="BE422" s="92"/>
      <c r="BF422" s="92"/>
      <c r="BG422" s="92"/>
      <c r="BH422" s="92"/>
      <c r="BI422" s="92"/>
      <c r="BJ422" s="92"/>
      <c r="BK422" s="92"/>
      <c r="BL422" s="92"/>
      <c r="BM422" s="92"/>
      <c r="BN422" s="92"/>
      <c r="BO422" s="92"/>
      <c r="BP422" s="92"/>
      <c r="BQ422" s="92"/>
      <c r="BS422" s="6"/>
      <c r="BT422" s="11"/>
      <c r="BU422" s="6"/>
      <c r="BV422" s="6"/>
    </row>
    <row r="423" spans="1:74" ht="15.75" x14ac:dyDescent="0.25">
      <c r="A423" s="50" t="s">
        <v>449</v>
      </c>
      <c r="B423" s="52"/>
      <c r="C423" s="7" t="s">
        <v>118</v>
      </c>
      <c r="D423" s="7" t="s">
        <v>1209</v>
      </c>
      <c r="E423" s="7"/>
      <c r="F423" s="55"/>
      <c r="G423" s="6"/>
      <c r="H423" s="6"/>
      <c r="I423" s="10" t="s">
        <v>110</v>
      </c>
      <c r="J423" s="11" t="s">
        <v>1435</v>
      </c>
      <c r="K423" s="102" t="s">
        <v>377</v>
      </c>
      <c r="L423" s="98"/>
      <c r="M423" s="98">
        <v>1000</v>
      </c>
      <c r="N423" s="60" t="s">
        <v>1210</v>
      </c>
      <c r="O423" s="88"/>
      <c r="P423" s="60" t="s">
        <v>1436</v>
      </c>
      <c r="Q423" s="60"/>
      <c r="R423" s="60"/>
      <c r="S423" s="89"/>
      <c r="T423" s="106"/>
      <c r="U423" s="88"/>
      <c r="V423" s="91"/>
      <c r="W423" s="12" t="s">
        <v>515</v>
      </c>
      <c r="X423" s="103"/>
      <c r="Y423" s="6" t="s">
        <v>1437</v>
      </c>
      <c r="Z423" s="64" t="s">
        <v>517</v>
      </c>
      <c r="AA423" s="12">
        <v>60</v>
      </c>
      <c r="AB423" s="6" t="s">
        <v>148</v>
      </c>
      <c r="AC423" s="64">
        <v>3060</v>
      </c>
      <c r="AJ423" s="60"/>
      <c r="AK423" s="67" t="s">
        <v>518</v>
      </c>
      <c r="AN423" s="60"/>
      <c r="AO423" s="60"/>
      <c r="AP423" s="60"/>
      <c r="AQ423" s="60"/>
      <c r="AR423" s="72"/>
      <c r="AS423" s="60"/>
      <c r="AT423" s="7"/>
      <c r="AU423" s="7"/>
      <c r="AV423" s="92"/>
      <c r="AW423" s="93"/>
      <c r="AX423" s="77"/>
      <c r="AY423" s="80"/>
      <c r="AZ423" s="94"/>
      <c r="BA423" s="94"/>
      <c r="BB423" s="80" t="s">
        <v>519</v>
      </c>
      <c r="BC423" s="95"/>
      <c r="BD423" s="92"/>
      <c r="BE423" s="92"/>
      <c r="BF423" s="92"/>
      <c r="BG423" s="92"/>
      <c r="BH423" s="92"/>
      <c r="BI423" s="92"/>
      <c r="BJ423" s="92"/>
      <c r="BK423" s="92"/>
      <c r="BL423" s="92"/>
      <c r="BM423" s="92"/>
      <c r="BN423" s="92"/>
      <c r="BO423" s="92"/>
      <c r="BP423" s="92"/>
      <c r="BQ423" s="92"/>
      <c r="BS423" s="6"/>
      <c r="BT423" s="11"/>
      <c r="BU423" s="6"/>
      <c r="BV423" s="6"/>
    </row>
    <row r="424" spans="1:74" ht="15.75" x14ac:dyDescent="0.25">
      <c r="A424" s="50" t="s">
        <v>449</v>
      </c>
      <c r="B424" s="52"/>
      <c r="C424" s="7" t="s">
        <v>118</v>
      </c>
      <c r="D424" s="7" t="s">
        <v>1209</v>
      </c>
      <c r="E424" s="7"/>
      <c r="F424" s="55"/>
      <c r="G424" s="6"/>
      <c r="H424" s="6"/>
      <c r="I424" s="10" t="s">
        <v>110</v>
      </c>
      <c r="J424" s="11" t="s">
        <v>1438</v>
      </c>
      <c r="K424" s="102" t="s">
        <v>377</v>
      </c>
      <c r="L424" s="98"/>
      <c r="M424" s="98">
        <v>1000</v>
      </c>
      <c r="N424" s="60" t="s">
        <v>1210</v>
      </c>
      <c r="O424" s="88"/>
      <c r="P424" s="60" t="s">
        <v>1439</v>
      </c>
      <c r="Q424" s="60"/>
      <c r="R424" s="60"/>
      <c r="S424" s="89"/>
      <c r="T424" s="106"/>
      <c r="U424" s="88"/>
      <c r="V424" s="91"/>
      <c r="W424" s="12" t="s">
        <v>515</v>
      </c>
      <c r="X424" s="103"/>
      <c r="Y424" s="6" t="s">
        <v>1437</v>
      </c>
      <c r="Z424" s="64" t="s">
        <v>522</v>
      </c>
      <c r="AA424" s="12">
        <v>60</v>
      </c>
      <c r="AB424" s="6" t="s">
        <v>148</v>
      </c>
      <c r="AC424" s="64">
        <v>3084</v>
      </c>
      <c r="AJ424" s="60"/>
      <c r="AK424" s="67" t="s">
        <v>450</v>
      </c>
      <c r="AN424" s="60"/>
      <c r="AO424" s="60"/>
      <c r="AP424" s="60"/>
      <c r="AQ424" s="60"/>
      <c r="AR424" s="72"/>
      <c r="AS424" s="60"/>
      <c r="AT424" s="7"/>
      <c r="AU424" s="7"/>
      <c r="AV424" s="92"/>
      <c r="AW424" s="93"/>
      <c r="AX424" s="77"/>
      <c r="AY424" s="80"/>
      <c r="AZ424" s="94"/>
      <c r="BA424" s="94"/>
      <c r="BB424" s="80" t="s">
        <v>519</v>
      </c>
      <c r="BC424" s="95"/>
      <c r="BD424" s="92"/>
      <c r="BE424" s="92"/>
      <c r="BF424" s="92"/>
      <c r="BG424" s="92"/>
      <c r="BH424" s="92"/>
      <c r="BI424" s="92"/>
      <c r="BJ424" s="92"/>
      <c r="BK424" s="92"/>
      <c r="BL424" s="92"/>
      <c r="BM424" s="92"/>
      <c r="BN424" s="92"/>
      <c r="BO424" s="92"/>
      <c r="BP424" s="92"/>
      <c r="BQ424" s="92"/>
      <c r="BS424" s="6"/>
      <c r="BT424" s="11"/>
      <c r="BU424" s="6"/>
      <c r="BV424" s="6"/>
    </row>
    <row r="425" spans="1:74" ht="15.75" x14ac:dyDescent="0.25">
      <c r="A425" s="50" t="s">
        <v>449</v>
      </c>
      <c r="B425" s="52"/>
      <c r="C425" s="7" t="s">
        <v>118</v>
      </c>
      <c r="D425" s="7" t="s">
        <v>1209</v>
      </c>
      <c r="E425" s="7"/>
      <c r="F425" s="55"/>
      <c r="G425" s="6"/>
      <c r="H425" s="6"/>
      <c r="I425" s="10" t="s">
        <v>110</v>
      </c>
      <c r="J425" s="11" t="s">
        <v>1440</v>
      </c>
      <c r="K425" s="102" t="s">
        <v>377</v>
      </c>
      <c r="L425" s="98"/>
      <c r="M425" s="98">
        <v>1000</v>
      </c>
      <c r="N425" s="60" t="s">
        <v>1210</v>
      </c>
      <c r="O425" s="88"/>
      <c r="P425" s="60" t="s">
        <v>1441</v>
      </c>
      <c r="Q425" s="60"/>
      <c r="R425" s="60"/>
      <c r="S425" s="89"/>
      <c r="T425" s="106"/>
      <c r="U425" s="88"/>
      <c r="V425" s="91"/>
      <c r="W425" s="12" t="s">
        <v>515</v>
      </c>
      <c r="X425" s="103"/>
      <c r="Y425" s="6" t="s">
        <v>1442</v>
      </c>
      <c r="Z425" s="64" t="s">
        <v>517</v>
      </c>
      <c r="AA425" s="12">
        <v>61</v>
      </c>
      <c r="AB425" s="6" t="s">
        <v>148</v>
      </c>
      <c r="AC425" s="64">
        <v>3060</v>
      </c>
      <c r="AJ425" s="60"/>
      <c r="AK425" s="67" t="s">
        <v>518</v>
      </c>
      <c r="AN425" s="60"/>
      <c r="AO425" s="60"/>
      <c r="AP425" s="60"/>
      <c r="AQ425" s="60"/>
      <c r="AR425" s="72"/>
      <c r="AS425" s="60"/>
      <c r="AT425" s="7"/>
      <c r="AU425" s="7"/>
      <c r="AV425" s="92"/>
      <c r="AW425" s="93"/>
      <c r="AX425" s="77"/>
      <c r="AY425" s="80"/>
      <c r="AZ425" s="94"/>
      <c r="BA425" s="94"/>
      <c r="BB425" s="80" t="s">
        <v>519</v>
      </c>
      <c r="BC425" s="95"/>
      <c r="BD425" s="92"/>
      <c r="BE425" s="92"/>
      <c r="BF425" s="92"/>
      <c r="BG425" s="92"/>
      <c r="BH425" s="92"/>
      <c r="BI425" s="92"/>
      <c r="BJ425" s="92"/>
      <c r="BK425" s="92"/>
      <c r="BL425" s="92"/>
      <c r="BM425" s="92"/>
      <c r="BN425" s="92"/>
      <c r="BO425" s="92"/>
      <c r="BP425" s="92"/>
      <c r="BQ425" s="92"/>
      <c r="BS425" s="6"/>
      <c r="BT425" s="11"/>
      <c r="BU425" s="6"/>
      <c r="BV425" s="6"/>
    </row>
    <row r="426" spans="1:74" ht="15.75" x14ac:dyDescent="0.25">
      <c r="A426" s="50" t="s">
        <v>449</v>
      </c>
      <c r="B426" s="52"/>
      <c r="C426" s="7" t="s">
        <v>118</v>
      </c>
      <c r="D426" s="7" t="s">
        <v>1209</v>
      </c>
      <c r="E426" s="7"/>
      <c r="F426" s="55"/>
      <c r="G426" s="6"/>
      <c r="H426" s="6"/>
      <c r="I426" s="10" t="s">
        <v>110</v>
      </c>
      <c r="J426" s="11" t="s">
        <v>1443</v>
      </c>
      <c r="K426" s="102" t="s">
        <v>377</v>
      </c>
      <c r="L426" s="98"/>
      <c r="M426" s="98">
        <v>1000</v>
      </c>
      <c r="N426" s="60" t="s">
        <v>1210</v>
      </c>
      <c r="O426" s="88"/>
      <c r="P426" s="60" t="s">
        <v>1444</v>
      </c>
      <c r="Q426" s="60"/>
      <c r="R426" s="60"/>
      <c r="S426" s="89"/>
      <c r="T426" s="106"/>
      <c r="U426" s="88"/>
      <c r="V426" s="91"/>
      <c r="W426" s="12" t="s">
        <v>515</v>
      </c>
      <c r="X426" s="103"/>
      <c r="Y426" s="6" t="s">
        <v>1442</v>
      </c>
      <c r="Z426" s="64" t="s">
        <v>522</v>
      </c>
      <c r="AA426" s="12">
        <v>61</v>
      </c>
      <c r="AB426" s="6" t="s">
        <v>148</v>
      </c>
      <c r="AC426" s="64">
        <v>3084</v>
      </c>
      <c r="AJ426" s="60"/>
      <c r="AK426" s="67" t="s">
        <v>450</v>
      </c>
      <c r="AN426" s="60"/>
      <c r="AO426" s="60"/>
      <c r="AP426" s="60"/>
      <c r="AQ426" s="60"/>
      <c r="AR426" s="72"/>
      <c r="AS426" s="60"/>
      <c r="AT426" s="7"/>
      <c r="AU426" s="7"/>
      <c r="AV426" s="92"/>
      <c r="AW426" s="93"/>
      <c r="AX426" s="77"/>
      <c r="AY426" s="80"/>
      <c r="AZ426" s="94"/>
      <c r="BA426" s="94"/>
      <c r="BB426" s="80" t="s">
        <v>519</v>
      </c>
      <c r="BC426" s="95"/>
      <c r="BD426" s="92"/>
      <c r="BE426" s="92"/>
      <c r="BF426" s="92"/>
      <c r="BG426" s="92"/>
      <c r="BH426" s="92"/>
      <c r="BI426" s="92"/>
      <c r="BJ426" s="92"/>
      <c r="BK426" s="92"/>
      <c r="BL426" s="92"/>
      <c r="BM426" s="92"/>
      <c r="BN426" s="92"/>
      <c r="BO426" s="92"/>
      <c r="BP426" s="92"/>
      <c r="BQ426" s="92"/>
      <c r="BS426" s="6"/>
      <c r="BT426" s="11"/>
      <c r="BU426" s="6"/>
      <c r="BV426" s="6"/>
    </row>
    <row r="427" spans="1:74" ht="15.75" x14ac:dyDescent="0.25">
      <c r="A427" s="50" t="s">
        <v>449</v>
      </c>
      <c r="B427" s="52"/>
      <c r="C427" s="7" t="s">
        <v>118</v>
      </c>
      <c r="D427" s="7" t="s">
        <v>1209</v>
      </c>
      <c r="E427" s="7"/>
      <c r="F427" s="55"/>
      <c r="G427" s="6"/>
      <c r="H427" s="6"/>
      <c r="I427" s="10" t="s">
        <v>110</v>
      </c>
      <c r="J427" s="11" t="s">
        <v>1445</v>
      </c>
      <c r="K427" s="102" t="s">
        <v>377</v>
      </c>
      <c r="L427" s="98"/>
      <c r="M427" s="98">
        <v>1000</v>
      </c>
      <c r="N427" s="60" t="s">
        <v>1210</v>
      </c>
      <c r="O427" s="88"/>
      <c r="P427" s="60" t="s">
        <v>1446</v>
      </c>
      <c r="Q427" s="60"/>
      <c r="R427" s="60"/>
      <c r="S427" s="89"/>
      <c r="T427" s="106"/>
      <c r="U427" s="88"/>
      <c r="V427" s="91"/>
      <c r="W427" s="12" t="s">
        <v>515</v>
      </c>
      <c r="X427" s="103"/>
      <c r="Y427" s="6" t="s">
        <v>1447</v>
      </c>
      <c r="Z427" s="64" t="s">
        <v>517</v>
      </c>
      <c r="AA427" s="12">
        <v>62</v>
      </c>
      <c r="AB427" s="6" t="s">
        <v>148</v>
      </c>
      <c r="AC427" s="64">
        <v>3060</v>
      </c>
      <c r="AJ427" s="60"/>
      <c r="AK427" s="67" t="s">
        <v>518</v>
      </c>
      <c r="AN427" s="60"/>
      <c r="AO427" s="60"/>
      <c r="AP427" s="60"/>
      <c r="AQ427" s="60"/>
      <c r="AR427" s="72"/>
      <c r="AS427" s="60"/>
      <c r="AT427" s="7"/>
      <c r="AU427" s="7"/>
      <c r="AV427" s="92"/>
      <c r="AW427" s="93"/>
      <c r="AX427" s="77"/>
      <c r="AY427" s="80"/>
      <c r="AZ427" s="94"/>
      <c r="BA427" s="94"/>
      <c r="BB427" s="80" t="s">
        <v>519</v>
      </c>
      <c r="BC427" s="95"/>
      <c r="BD427" s="92"/>
      <c r="BE427" s="92"/>
      <c r="BF427" s="92"/>
      <c r="BG427" s="92"/>
      <c r="BH427" s="92"/>
      <c r="BI427" s="92"/>
      <c r="BJ427" s="92"/>
      <c r="BK427" s="92"/>
      <c r="BL427" s="92"/>
      <c r="BM427" s="92"/>
      <c r="BN427" s="92"/>
      <c r="BO427" s="92"/>
      <c r="BP427" s="92"/>
      <c r="BQ427" s="92"/>
      <c r="BS427" s="6"/>
      <c r="BT427" s="11"/>
      <c r="BU427" s="6"/>
      <c r="BV427" s="6"/>
    </row>
    <row r="428" spans="1:74" ht="15.75" x14ac:dyDescent="0.25">
      <c r="A428" s="50" t="s">
        <v>449</v>
      </c>
      <c r="B428" s="52"/>
      <c r="C428" s="7" t="s">
        <v>118</v>
      </c>
      <c r="D428" s="7" t="s">
        <v>1209</v>
      </c>
      <c r="E428" s="7"/>
      <c r="F428" s="55"/>
      <c r="G428" s="6"/>
      <c r="H428" s="6"/>
      <c r="I428" s="10" t="s">
        <v>110</v>
      </c>
      <c r="J428" s="11" t="s">
        <v>1448</v>
      </c>
      <c r="K428" s="102" t="s">
        <v>377</v>
      </c>
      <c r="L428" s="98"/>
      <c r="M428" s="98">
        <v>1000</v>
      </c>
      <c r="N428" s="60" t="s">
        <v>1210</v>
      </c>
      <c r="O428" s="88"/>
      <c r="P428" s="60" t="s">
        <v>1449</v>
      </c>
      <c r="Q428" s="60"/>
      <c r="R428" s="60"/>
      <c r="S428" s="89"/>
      <c r="T428" s="106"/>
      <c r="U428" s="88"/>
      <c r="V428" s="91"/>
      <c r="W428" s="12" t="s">
        <v>515</v>
      </c>
      <c r="X428" s="103"/>
      <c r="Y428" s="6" t="s">
        <v>1447</v>
      </c>
      <c r="Z428" s="64" t="s">
        <v>522</v>
      </c>
      <c r="AA428" s="12">
        <v>62</v>
      </c>
      <c r="AB428" s="6" t="s">
        <v>148</v>
      </c>
      <c r="AC428" s="64">
        <v>3084</v>
      </c>
      <c r="AJ428" s="60"/>
      <c r="AK428" s="67" t="s">
        <v>450</v>
      </c>
      <c r="AN428" s="60"/>
      <c r="AO428" s="60"/>
      <c r="AP428" s="60"/>
      <c r="AQ428" s="60"/>
      <c r="AR428" s="72"/>
      <c r="AS428" s="60"/>
      <c r="AT428" s="7"/>
      <c r="AU428" s="7"/>
      <c r="AV428" s="92"/>
      <c r="AW428" s="93"/>
      <c r="AX428" s="77"/>
      <c r="AY428" s="80"/>
      <c r="AZ428" s="94"/>
      <c r="BA428" s="94"/>
      <c r="BB428" s="80" t="s">
        <v>519</v>
      </c>
      <c r="BC428" s="95"/>
      <c r="BD428" s="92"/>
      <c r="BE428" s="92"/>
      <c r="BF428" s="92"/>
      <c r="BG428" s="92"/>
      <c r="BH428" s="92"/>
      <c r="BI428" s="92"/>
      <c r="BJ428" s="92"/>
      <c r="BK428" s="92"/>
      <c r="BL428" s="92"/>
      <c r="BM428" s="92"/>
      <c r="BN428" s="92"/>
      <c r="BO428" s="92"/>
      <c r="BP428" s="92"/>
      <c r="BQ428" s="92"/>
      <c r="BS428" s="6"/>
      <c r="BT428" s="11"/>
      <c r="BU428" s="6"/>
      <c r="BV428" s="6"/>
    </row>
    <row r="429" spans="1:74" ht="15.75" x14ac:dyDescent="0.25">
      <c r="A429" s="50" t="s">
        <v>449</v>
      </c>
      <c r="B429" s="52"/>
      <c r="C429" s="7" t="s">
        <v>118</v>
      </c>
      <c r="D429" s="7" t="s">
        <v>1209</v>
      </c>
      <c r="E429" s="7"/>
      <c r="F429" s="55"/>
      <c r="G429" s="6"/>
      <c r="H429" s="6"/>
      <c r="I429" s="10" t="s">
        <v>110</v>
      </c>
      <c r="J429" s="11" t="s">
        <v>1450</v>
      </c>
      <c r="K429" s="102" t="s">
        <v>377</v>
      </c>
      <c r="L429" s="98"/>
      <c r="M429" s="98">
        <v>1000</v>
      </c>
      <c r="N429" s="60" t="s">
        <v>1210</v>
      </c>
      <c r="O429" s="88"/>
      <c r="P429" s="60" t="s">
        <v>1451</v>
      </c>
      <c r="Q429" s="60"/>
      <c r="R429" s="60"/>
      <c r="S429" s="89"/>
      <c r="T429" s="106"/>
      <c r="U429" s="88"/>
      <c r="V429" s="91"/>
      <c r="W429" s="12" t="s">
        <v>515</v>
      </c>
      <c r="X429" s="103"/>
      <c r="Y429" s="6" t="s">
        <v>1452</v>
      </c>
      <c r="Z429" s="64" t="s">
        <v>517</v>
      </c>
      <c r="AA429" s="12">
        <v>63</v>
      </c>
      <c r="AB429" s="6" t="s">
        <v>148</v>
      </c>
      <c r="AC429" s="64">
        <v>3060</v>
      </c>
      <c r="AJ429" s="60"/>
      <c r="AK429" s="67" t="s">
        <v>518</v>
      </c>
      <c r="AN429" s="60"/>
      <c r="AO429" s="60"/>
      <c r="AP429" s="60"/>
      <c r="AQ429" s="60"/>
      <c r="AR429" s="72"/>
      <c r="AS429" s="60"/>
      <c r="AT429" s="7"/>
      <c r="AU429" s="7"/>
      <c r="AV429" s="92"/>
      <c r="AW429" s="93"/>
      <c r="AX429" s="77"/>
      <c r="AY429" s="80"/>
      <c r="AZ429" s="94"/>
      <c r="BA429" s="94"/>
      <c r="BB429" s="80" t="s">
        <v>519</v>
      </c>
      <c r="BC429" s="95"/>
      <c r="BD429" s="92"/>
      <c r="BE429" s="92"/>
      <c r="BF429" s="92"/>
      <c r="BG429" s="92"/>
      <c r="BH429" s="92"/>
      <c r="BI429" s="92"/>
      <c r="BJ429" s="92"/>
      <c r="BK429" s="92"/>
      <c r="BL429" s="92"/>
      <c r="BM429" s="92"/>
      <c r="BN429" s="92"/>
      <c r="BO429" s="92"/>
      <c r="BP429" s="92"/>
      <c r="BQ429" s="92"/>
      <c r="BS429" s="6"/>
      <c r="BT429" s="11"/>
      <c r="BU429" s="6"/>
      <c r="BV429" s="6"/>
    </row>
    <row r="430" spans="1:74" ht="15.75" x14ac:dyDescent="0.25">
      <c r="A430" s="50" t="s">
        <v>449</v>
      </c>
      <c r="B430" s="52"/>
      <c r="C430" s="7" t="s">
        <v>118</v>
      </c>
      <c r="D430" s="7" t="s">
        <v>1209</v>
      </c>
      <c r="E430" s="7"/>
      <c r="F430" s="55"/>
      <c r="G430" s="6"/>
      <c r="H430" s="6"/>
      <c r="I430" s="10" t="s">
        <v>110</v>
      </c>
      <c r="J430" s="11" t="s">
        <v>1453</v>
      </c>
      <c r="K430" s="102" t="s">
        <v>377</v>
      </c>
      <c r="L430" s="98"/>
      <c r="M430" s="98">
        <v>1000</v>
      </c>
      <c r="N430" s="60" t="s">
        <v>1210</v>
      </c>
      <c r="O430" s="88"/>
      <c r="P430" s="60" t="s">
        <v>1454</v>
      </c>
      <c r="Q430" s="60"/>
      <c r="R430" s="60"/>
      <c r="S430" s="89"/>
      <c r="T430" s="106"/>
      <c r="U430" s="88"/>
      <c r="V430" s="91"/>
      <c r="W430" s="12" t="s">
        <v>515</v>
      </c>
      <c r="X430" s="103"/>
      <c r="Y430" s="6" t="s">
        <v>1452</v>
      </c>
      <c r="Z430" s="64" t="s">
        <v>522</v>
      </c>
      <c r="AA430" s="12">
        <v>63</v>
      </c>
      <c r="AB430" s="6" t="s">
        <v>148</v>
      </c>
      <c r="AC430" s="64">
        <v>3084</v>
      </c>
      <c r="AJ430" s="60"/>
      <c r="AK430" s="67" t="s">
        <v>450</v>
      </c>
      <c r="AN430" s="60"/>
      <c r="AO430" s="60"/>
      <c r="AP430" s="60"/>
      <c r="AQ430" s="60"/>
      <c r="AR430" s="72"/>
      <c r="AS430" s="60"/>
      <c r="AT430" s="7"/>
      <c r="AU430" s="7"/>
      <c r="AV430" s="92"/>
      <c r="AW430" s="93"/>
      <c r="AX430" s="77"/>
      <c r="AY430" s="80"/>
      <c r="AZ430" s="94"/>
      <c r="BA430" s="94"/>
      <c r="BB430" s="80" t="s">
        <v>519</v>
      </c>
      <c r="BC430" s="95"/>
      <c r="BD430" s="92"/>
      <c r="BE430" s="92"/>
      <c r="BF430" s="92"/>
      <c r="BG430" s="92"/>
      <c r="BH430" s="92"/>
      <c r="BI430" s="92"/>
      <c r="BJ430" s="92"/>
      <c r="BK430" s="92"/>
      <c r="BL430" s="92"/>
      <c r="BM430" s="92"/>
      <c r="BN430" s="92"/>
      <c r="BO430" s="92"/>
      <c r="BP430" s="92"/>
      <c r="BQ430" s="92"/>
      <c r="BS430" s="6"/>
      <c r="BT430" s="11"/>
      <c r="BU430" s="6"/>
      <c r="BV430" s="6"/>
    </row>
    <row r="431" spans="1:74" ht="15.75" x14ac:dyDescent="0.25">
      <c r="A431" s="50" t="s">
        <v>1455</v>
      </c>
      <c r="B431" s="52"/>
      <c r="C431" s="7" t="s">
        <v>118</v>
      </c>
      <c r="D431" s="7" t="s">
        <v>22</v>
      </c>
      <c r="E431" s="7"/>
      <c r="F431" s="7"/>
      <c r="I431" s="10" t="s">
        <v>110</v>
      </c>
      <c r="J431" s="56" t="s">
        <v>1459</v>
      </c>
      <c r="K431" s="57" t="s">
        <v>512</v>
      </c>
      <c r="M431" s="10">
        <v>1000</v>
      </c>
      <c r="N431" s="59" t="s">
        <v>1456</v>
      </c>
      <c r="P431" s="59" t="s">
        <v>1461</v>
      </c>
      <c r="R431" s="60"/>
      <c r="S431" s="62"/>
      <c r="W431" s="65" t="s">
        <v>515</v>
      </c>
      <c r="X431" s="104"/>
      <c r="Y431" s="6" t="str">
        <f t="shared" ref="Y431:Y432" si="25">IF(COUNTIF(N431,"spare"),"",IF(X431&lt;&gt;"",N431&amp;"/"&amp;X431,N431&amp;" GENERAL"))</f>
        <v>450000 24VDC SYSTEM GENERAL</v>
      </c>
      <c r="Z431" s="64" t="str">
        <f t="shared" ref="Z431:Z432" si="26">IF(COUNTIF(N431,"spare"),"","$."&amp;_xlfn.REGEXREPLACE(_xlfn.REGEXREPLACE(IF(X431="",J431,_xlfn.REGEXREPLACE(J431,".*_","")),"^DB_",""),"\.","_"))</f>
        <v>$.GEN_SERVICE_14E1_VOLTAGE</v>
      </c>
      <c r="AA431" s="65"/>
      <c r="AC431" s="66"/>
      <c r="AD431" s="66"/>
      <c r="AE431" s="56"/>
      <c r="AF431" s="56"/>
      <c r="AG431" s="56"/>
      <c r="AH431" s="56"/>
      <c r="AI431" s="69"/>
      <c r="AK431" s="68" t="s">
        <v>1457</v>
      </c>
      <c r="AL431" s="68"/>
      <c r="AM431" s="70" t="s">
        <v>519</v>
      </c>
      <c r="AR431" s="72"/>
      <c r="AT431" s="7"/>
      <c r="AU431" s="7"/>
      <c r="AV431" s="73"/>
      <c r="AW431" s="71" t="s">
        <v>519</v>
      </c>
      <c r="AX431" s="77"/>
      <c r="BB431" s="81" t="s">
        <v>519</v>
      </c>
      <c r="BQ431" s="83"/>
      <c r="BS431" s="6"/>
      <c r="BT431" s="11"/>
    </row>
    <row r="432" spans="1:74" ht="15.75" x14ac:dyDescent="0.25">
      <c r="A432" s="50" t="s">
        <v>1455</v>
      </c>
      <c r="B432" s="52"/>
      <c r="C432" s="7" t="s">
        <v>118</v>
      </c>
      <c r="D432" s="7" t="s">
        <v>22</v>
      </c>
      <c r="E432" s="7"/>
      <c r="F432" s="7"/>
      <c r="I432" s="10" t="s">
        <v>110</v>
      </c>
      <c r="J432" s="56" t="s">
        <v>1460</v>
      </c>
      <c r="K432" s="57" t="s">
        <v>512</v>
      </c>
      <c r="M432" s="10">
        <v>1000</v>
      </c>
      <c r="N432" s="59" t="s">
        <v>1456</v>
      </c>
      <c r="P432" s="59" t="s">
        <v>1462</v>
      </c>
      <c r="R432" s="60"/>
      <c r="S432" s="62"/>
      <c r="W432" s="65" t="s">
        <v>515</v>
      </c>
      <c r="X432" s="104"/>
      <c r="Y432" s="6" t="str">
        <f t="shared" si="25"/>
        <v>450000 24VDC SYSTEM GENERAL</v>
      </c>
      <c r="Z432" s="64" t="str">
        <f t="shared" si="26"/>
        <v>$.GEN_SERVICE_14E1_CURRENT</v>
      </c>
      <c r="AA432" s="65"/>
      <c r="AC432" s="66"/>
      <c r="AD432" s="66"/>
      <c r="AE432" s="56"/>
      <c r="AF432" s="56"/>
      <c r="AG432" s="56"/>
      <c r="AH432" s="56"/>
      <c r="AI432" s="69"/>
      <c r="AK432" s="68" t="s">
        <v>1458</v>
      </c>
      <c r="AL432" s="68"/>
      <c r="AM432" s="70" t="s">
        <v>519</v>
      </c>
      <c r="AR432" s="72"/>
      <c r="AT432" s="7"/>
      <c r="AU432" s="7"/>
      <c r="AV432" s="73"/>
      <c r="AW432" s="71" t="s">
        <v>519</v>
      </c>
      <c r="AX432" s="77"/>
      <c r="BB432" s="81" t="s">
        <v>519</v>
      </c>
      <c r="BQ432" s="83"/>
      <c r="BS432" s="6"/>
      <c r="BT432" s="11"/>
    </row>
    <row r="433" spans="1:72" ht="15.75" x14ac:dyDescent="0.25">
      <c r="A433" s="50"/>
      <c r="B433" s="52"/>
      <c r="C433" s="7"/>
      <c r="D433" s="7"/>
      <c r="E433" s="7"/>
      <c r="F433" s="7"/>
      <c r="J433" s="56"/>
      <c r="K433" s="57"/>
      <c r="N433" s="59"/>
      <c r="R433" s="60"/>
      <c r="S433" s="62"/>
      <c r="W433" s="65"/>
      <c r="X433" s="104"/>
      <c r="Y433" s="54"/>
      <c r="Z433" s="66"/>
      <c r="AA433" s="65"/>
      <c r="AC433" s="66"/>
      <c r="AD433" s="66"/>
      <c r="AE433" s="56"/>
      <c r="AF433" s="56"/>
      <c r="AG433" s="56"/>
      <c r="AH433" s="56"/>
      <c r="AI433" s="69"/>
      <c r="AK433" s="68"/>
      <c r="AL433" s="68"/>
      <c r="AR433" s="72"/>
      <c r="AT433" s="7"/>
      <c r="AU433" s="7"/>
      <c r="AV433" s="73"/>
      <c r="AW433" s="71"/>
      <c r="AX433" s="77"/>
      <c r="BQ433" s="83"/>
      <c r="BS433" s="6"/>
      <c r="BT433" s="11"/>
    </row>
    <row r="434" spans="1:72" ht="15.75" x14ac:dyDescent="0.25">
      <c r="A434" s="50"/>
      <c r="B434" s="52"/>
      <c r="C434" s="7"/>
      <c r="D434" s="7"/>
      <c r="E434" s="7"/>
      <c r="F434" s="7"/>
      <c r="J434" s="56"/>
      <c r="K434" s="57"/>
      <c r="N434" s="59"/>
      <c r="R434" s="60"/>
      <c r="S434" s="62"/>
      <c r="W434" s="65"/>
      <c r="X434" s="104"/>
      <c r="Y434" s="54"/>
      <c r="Z434" s="66"/>
      <c r="AA434" s="65"/>
      <c r="AC434" s="66"/>
      <c r="AD434" s="66"/>
      <c r="AE434" s="56"/>
      <c r="AF434" s="56"/>
      <c r="AG434" s="56"/>
      <c r="AH434" s="56"/>
      <c r="AI434" s="69"/>
      <c r="AK434" s="68"/>
      <c r="AL434" s="68"/>
      <c r="AR434" s="72"/>
      <c r="AT434" s="7"/>
      <c r="AU434" s="7"/>
      <c r="AV434" s="73"/>
      <c r="AW434" s="71"/>
      <c r="AX434" s="77"/>
      <c r="BQ434" s="83"/>
      <c r="BS434" s="6"/>
      <c r="BT434" s="11"/>
    </row>
    <row r="435" spans="1:72" ht="15.75" x14ac:dyDescent="0.25">
      <c r="A435" s="50"/>
      <c r="B435" s="52"/>
      <c r="C435" s="7"/>
      <c r="D435" s="7"/>
      <c r="E435" s="7"/>
      <c r="F435" s="7"/>
      <c r="J435" s="56"/>
      <c r="K435" s="57"/>
      <c r="N435" s="59"/>
      <c r="R435" s="60"/>
      <c r="S435" s="62"/>
      <c r="W435" s="65"/>
      <c r="X435" s="104"/>
      <c r="Y435" s="54"/>
      <c r="Z435" s="66"/>
      <c r="AA435" s="65"/>
      <c r="AC435" s="66"/>
      <c r="AD435" s="66"/>
      <c r="AE435" s="56"/>
      <c r="AF435" s="56"/>
      <c r="AG435" s="56"/>
      <c r="AH435" s="56"/>
      <c r="AI435" s="69"/>
      <c r="AK435" s="68"/>
      <c r="AL435" s="68"/>
      <c r="AR435" s="72"/>
      <c r="AT435" s="7"/>
      <c r="AU435" s="7"/>
      <c r="AV435" s="73"/>
      <c r="AW435" s="71"/>
      <c r="AX435" s="77"/>
      <c r="BQ435" s="83"/>
      <c r="BS435" s="6"/>
      <c r="BT435" s="11"/>
    </row>
    <row r="436" spans="1:72" ht="15.75" x14ac:dyDescent="0.25">
      <c r="A436" s="50"/>
      <c r="B436" s="52"/>
      <c r="C436" s="7"/>
      <c r="D436" s="7"/>
      <c r="E436" s="7"/>
      <c r="F436" s="7"/>
      <c r="J436" s="56"/>
      <c r="K436" s="57"/>
      <c r="N436" s="59"/>
      <c r="R436" s="60"/>
      <c r="S436" s="62"/>
      <c r="W436" s="65"/>
      <c r="X436" s="104"/>
      <c r="Y436" s="54"/>
      <c r="Z436" s="66"/>
      <c r="AA436" s="65"/>
      <c r="AC436" s="66"/>
      <c r="AD436" s="66"/>
      <c r="AE436" s="56"/>
      <c r="AF436" s="56"/>
      <c r="AG436" s="56"/>
      <c r="AH436" s="56"/>
      <c r="AI436" s="69"/>
      <c r="AK436" s="68"/>
      <c r="AL436" s="68"/>
      <c r="AR436" s="72"/>
      <c r="AT436" s="7"/>
      <c r="AU436" s="7"/>
      <c r="AV436" s="73"/>
      <c r="AW436" s="71"/>
      <c r="AX436" s="77"/>
      <c r="BQ436" s="83"/>
      <c r="BS436" s="6"/>
      <c r="BT436" s="11"/>
    </row>
    <row r="437" spans="1:72" ht="15.75" x14ac:dyDescent="0.25">
      <c r="A437" s="50"/>
      <c r="B437" s="52"/>
      <c r="C437" s="7"/>
      <c r="D437" s="7"/>
      <c r="E437" s="7"/>
      <c r="F437" s="7"/>
      <c r="J437" s="56"/>
      <c r="K437" s="57"/>
      <c r="N437" s="59"/>
      <c r="R437" s="60"/>
      <c r="S437" s="62"/>
      <c r="W437" s="65"/>
      <c r="X437" s="104"/>
      <c r="Y437" s="54"/>
      <c r="Z437" s="66"/>
      <c r="AA437" s="65"/>
      <c r="AC437" s="66"/>
      <c r="AD437" s="66"/>
      <c r="AE437" s="56"/>
      <c r="AF437" s="56"/>
      <c r="AG437" s="56"/>
      <c r="AH437" s="56"/>
      <c r="AI437" s="69"/>
      <c r="AK437" s="68"/>
      <c r="AL437" s="68"/>
      <c r="AR437" s="72"/>
      <c r="AT437" s="7"/>
      <c r="AU437" s="7"/>
      <c r="AV437" s="73"/>
      <c r="AW437" s="71"/>
      <c r="AX437" s="77"/>
      <c r="BQ437" s="83"/>
      <c r="BS437" s="6"/>
      <c r="BT437" s="11"/>
    </row>
    <row r="438" spans="1:72" ht="15.75" x14ac:dyDescent="0.25">
      <c r="A438" s="50"/>
      <c r="B438" s="52"/>
      <c r="C438" s="7"/>
      <c r="D438" s="7"/>
      <c r="E438" s="7"/>
      <c r="F438" s="7"/>
      <c r="J438" s="56"/>
      <c r="K438" s="57"/>
      <c r="N438" s="59"/>
      <c r="R438" s="60"/>
      <c r="S438" s="62"/>
      <c r="W438" s="65"/>
      <c r="X438" s="104"/>
      <c r="Y438" s="54"/>
      <c r="Z438" s="66"/>
      <c r="AA438" s="65"/>
      <c r="AC438" s="66"/>
      <c r="AD438" s="66"/>
      <c r="AE438" s="56"/>
      <c r="AF438" s="56"/>
      <c r="AG438" s="56"/>
      <c r="AH438" s="56"/>
      <c r="AI438" s="69"/>
      <c r="AK438" s="68"/>
      <c r="AL438" s="68"/>
      <c r="AR438" s="72"/>
      <c r="AT438" s="7"/>
      <c r="AU438" s="7"/>
      <c r="AV438" s="73"/>
      <c r="AW438" s="71"/>
      <c r="AX438" s="77"/>
      <c r="BQ438" s="83"/>
      <c r="BS438" s="6"/>
      <c r="BT438" s="11"/>
    </row>
    <row r="439" spans="1:72" ht="15.75" x14ac:dyDescent="0.25">
      <c r="A439" s="50"/>
      <c r="B439" s="52"/>
      <c r="C439" s="7"/>
      <c r="D439" s="7"/>
      <c r="E439" s="7"/>
      <c r="F439" s="7"/>
      <c r="J439" s="56"/>
      <c r="K439" s="57"/>
      <c r="N439" s="59"/>
      <c r="R439" s="60"/>
      <c r="S439" s="62"/>
      <c r="W439" s="65"/>
      <c r="X439" s="104"/>
      <c r="Y439" s="54"/>
      <c r="Z439" s="66"/>
      <c r="AA439" s="65"/>
      <c r="AC439" s="66"/>
      <c r="AD439" s="66"/>
      <c r="AE439" s="56"/>
      <c r="AF439" s="56"/>
      <c r="AG439" s="56"/>
      <c r="AH439" s="56"/>
      <c r="AI439" s="69"/>
      <c r="AK439" s="68"/>
      <c r="AL439" s="68"/>
      <c r="AR439" s="72"/>
      <c r="AT439" s="7"/>
      <c r="AU439" s="7"/>
      <c r="AV439" s="73"/>
      <c r="AW439" s="71"/>
      <c r="AX439" s="77"/>
      <c r="BQ439" s="83"/>
      <c r="BS439" s="6"/>
      <c r="BT439" s="11"/>
    </row>
    <row r="440" spans="1:72" ht="15.75" x14ac:dyDescent="0.25">
      <c r="A440" s="50"/>
      <c r="B440" s="52"/>
      <c r="C440" s="7"/>
      <c r="D440" s="7"/>
      <c r="E440" s="7"/>
      <c r="F440" s="7"/>
      <c r="J440" s="56"/>
      <c r="K440" s="57"/>
      <c r="N440" s="59"/>
      <c r="R440" s="60"/>
      <c r="S440" s="62"/>
      <c r="W440" s="65"/>
      <c r="X440" s="104"/>
      <c r="Y440" s="54"/>
      <c r="Z440" s="66"/>
      <c r="AA440" s="65"/>
      <c r="AC440" s="66"/>
      <c r="AD440" s="66"/>
      <c r="AE440" s="56"/>
      <c r="AF440" s="56"/>
      <c r="AG440" s="56"/>
      <c r="AH440" s="56"/>
      <c r="AI440" s="69"/>
      <c r="AK440" s="68"/>
      <c r="AL440" s="68"/>
      <c r="AR440" s="72"/>
      <c r="AT440" s="7"/>
      <c r="AU440" s="7"/>
      <c r="AV440" s="73"/>
      <c r="AW440" s="71"/>
      <c r="AX440" s="77"/>
      <c r="BQ440" s="83"/>
      <c r="BS440" s="6"/>
      <c r="BT440" s="11"/>
    </row>
    <row r="441" spans="1:72" ht="15.75" x14ac:dyDescent="0.25">
      <c r="A441" s="50"/>
      <c r="B441" s="52"/>
      <c r="C441" s="7"/>
      <c r="D441" s="7"/>
      <c r="E441" s="7"/>
      <c r="F441" s="7"/>
      <c r="J441" s="56"/>
      <c r="K441" s="57"/>
      <c r="N441" s="59"/>
      <c r="R441" s="60"/>
      <c r="S441" s="62"/>
      <c r="W441" s="65"/>
      <c r="X441" s="104"/>
      <c r="Y441" s="54"/>
      <c r="Z441" s="66"/>
      <c r="AA441" s="65"/>
      <c r="AC441" s="66"/>
      <c r="AD441" s="66"/>
      <c r="AE441" s="56"/>
      <c r="AF441" s="56"/>
      <c r="AG441" s="56"/>
      <c r="AH441" s="56"/>
      <c r="AI441" s="69"/>
      <c r="AK441" s="68"/>
      <c r="AL441" s="68"/>
      <c r="AR441" s="72"/>
      <c r="AT441" s="7"/>
      <c r="AU441" s="7"/>
      <c r="AV441" s="73"/>
      <c r="AW441" s="71"/>
      <c r="AX441" s="77"/>
      <c r="BQ441" s="83"/>
      <c r="BS441" s="6"/>
      <c r="BT441" s="11"/>
    </row>
    <row r="442" spans="1:72" ht="15.75" x14ac:dyDescent="0.25">
      <c r="A442" s="50"/>
      <c r="B442" s="52"/>
      <c r="C442" s="7"/>
      <c r="D442" s="7"/>
      <c r="E442" s="7"/>
      <c r="F442" s="7"/>
      <c r="J442" s="56"/>
      <c r="K442" s="57"/>
      <c r="N442" s="59"/>
      <c r="R442" s="60"/>
      <c r="S442" s="62"/>
      <c r="W442" s="65"/>
      <c r="X442" s="104"/>
      <c r="Y442" s="54"/>
      <c r="Z442" s="66"/>
      <c r="AA442" s="65"/>
      <c r="AC442" s="66"/>
      <c r="AD442" s="66"/>
      <c r="AE442" s="56"/>
      <c r="AF442" s="56"/>
      <c r="AG442" s="56"/>
      <c r="AH442" s="56"/>
      <c r="AI442" s="69"/>
      <c r="AK442" s="68"/>
      <c r="AL442" s="68"/>
      <c r="AR442" s="72"/>
      <c r="AT442" s="7"/>
      <c r="AU442" s="7"/>
      <c r="AV442" s="73"/>
      <c r="AW442" s="71"/>
      <c r="AX442" s="77"/>
      <c r="BQ442" s="83"/>
      <c r="BS442" s="6"/>
      <c r="BT442" s="11"/>
    </row>
    <row r="443" spans="1:72" ht="15.75" x14ac:dyDescent="0.25">
      <c r="A443" s="50"/>
      <c r="B443" s="52"/>
      <c r="C443" s="7"/>
      <c r="D443" s="7"/>
      <c r="E443" s="7"/>
      <c r="F443" s="7"/>
      <c r="J443" s="56"/>
      <c r="K443" s="57"/>
      <c r="N443" s="59"/>
      <c r="R443" s="60"/>
      <c r="S443" s="62"/>
      <c r="W443" s="65"/>
      <c r="X443" s="104"/>
      <c r="Y443" s="54"/>
      <c r="Z443" s="66"/>
      <c r="AA443" s="65"/>
      <c r="AC443" s="66"/>
      <c r="AD443" s="66"/>
      <c r="AE443" s="56"/>
      <c r="AF443" s="56"/>
      <c r="AG443" s="56"/>
      <c r="AH443" s="56"/>
      <c r="AI443" s="69"/>
      <c r="AK443" s="68"/>
      <c r="AL443" s="68"/>
      <c r="AR443" s="72"/>
      <c r="AT443" s="7"/>
      <c r="AU443" s="7"/>
      <c r="AV443" s="73"/>
      <c r="AW443" s="71"/>
      <c r="AX443" s="77"/>
      <c r="BQ443" s="83"/>
      <c r="BS443" s="6"/>
      <c r="BT443" s="11"/>
    </row>
    <row r="444" spans="1:72" ht="15.75" x14ac:dyDescent="0.25">
      <c r="A444" s="50"/>
      <c r="B444" s="52"/>
      <c r="C444" s="7"/>
      <c r="D444" s="7"/>
      <c r="E444" s="7"/>
      <c r="F444" s="7"/>
      <c r="J444" s="56"/>
      <c r="K444" s="57"/>
      <c r="N444" s="59"/>
      <c r="R444" s="60"/>
      <c r="S444" s="62"/>
      <c r="W444" s="65"/>
      <c r="X444" s="104"/>
      <c r="Y444" s="54"/>
      <c r="Z444" s="66"/>
      <c r="AA444" s="65"/>
      <c r="AC444" s="66"/>
      <c r="AD444" s="66"/>
      <c r="AE444" s="56"/>
      <c r="AF444" s="56"/>
      <c r="AG444" s="56"/>
      <c r="AH444" s="56"/>
      <c r="AI444" s="69"/>
      <c r="AK444" s="68"/>
      <c r="AL444" s="68"/>
      <c r="AR444" s="72"/>
      <c r="AT444" s="7"/>
      <c r="AU444" s="7"/>
      <c r="AV444" s="73"/>
      <c r="AW444" s="71"/>
      <c r="AX444" s="77"/>
      <c r="BQ444" s="83"/>
      <c r="BS444" s="6"/>
      <c r="BT444" s="11"/>
    </row>
    <row r="445" spans="1:72" ht="15.75" x14ac:dyDescent="0.25">
      <c r="A445" s="50"/>
      <c r="B445" s="52"/>
      <c r="C445" s="7"/>
      <c r="D445" s="7"/>
      <c r="E445" s="7"/>
      <c r="F445" s="7"/>
      <c r="J445" s="56"/>
      <c r="K445" s="57"/>
      <c r="N445" s="59"/>
      <c r="R445" s="60"/>
      <c r="S445" s="62"/>
      <c r="W445" s="65"/>
      <c r="X445" s="104"/>
      <c r="Y445" s="54"/>
      <c r="Z445" s="66"/>
      <c r="AA445" s="65"/>
      <c r="AC445" s="66"/>
      <c r="AD445" s="66"/>
      <c r="AE445" s="56"/>
      <c r="AF445" s="56"/>
      <c r="AG445" s="56"/>
      <c r="AH445" s="56"/>
      <c r="AI445" s="69"/>
      <c r="AK445" s="68"/>
      <c r="AL445" s="68"/>
      <c r="AR445" s="72"/>
      <c r="AT445" s="7"/>
      <c r="AU445" s="7"/>
      <c r="AV445" s="73"/>
      <c r="AW445" s="71"/>
      <c r="AX445" s="77"/>
      <c r="BQ445" s="83"/>
      <c r="BS445" s="6"/>
      <c r="BT445" s="11"/>
    </row>
    <row r="446" spans="1:72" ht="15.75" x14ac:dyDescent="0.25">
      <c r="A446" s="50"/>
      <c r="B446" s="52"/>
      <c r="C446" s="7"/>
      <c r="D446" s="7"/>
      <c r="E446" s="7"/>
      <c r="F446" s="7"/>
      <c r="J446" s="56"/>
      <c r="K446" s="57"/>
      <c r="N446" s="59"/>
      <c r="R446" s="60"/>
      <c r="S446" s="62"/>
      <c r="W446" s="65"/>
      <c r="X446" s="104"/>
      <c r="Y446" s="54"/>
      <c r="Z446" s="66"/>
      <c r="AA446" s="65"/>
      <c r="AC446" s="66"/>
      <c r="AD446" s="66"/>
      <c r="AE446" s="56"/>
      <c r="AF446" s="56"/>
      <c r="AG446" s="56"/>
      <c r="AH446" s="56"/>
      <c r="AI446" s="69"/>
      <c r="AK446" s="68"/>
      <c r="AL446" s="68"/>
      <c r="AR446" s="72"/>
      <c r="AT446" s="7"/>
      <c r="AU446" s="7"/>
      <c r="AV446" s="73"/>
      <c r="AW446" s="71"/>
      <c r="AX446" s="77"/>
      <c r="BQ446" s="83"/>
      <c r="BS446" s="6"/>
      <c r="BT446" s="11"/>
    </row>
    <row r="447" spans="1:72" ht="15.75" x14ac:dyDescent="0.25">
      <c r="A447" s="50"/>
      <c r="B447" s="52"/>
      <c r="C447" s="7"/>
      <c r="D447" s="7"/>
      <c r="E447" s="7"/>
      <c r="F447" s="7"/>
      <c r="J447" s="56"/>
      <c r="K447" s="57"/>
      <c r="N447" s="59"/>
      <c r="R447" s="60"/>
      <c r="S447" s="62"/>
      <c r="W447" s="65"/>
      <c r="X447" s="104"/>
      <c r="Y447" s="54"/>
      <c r="Z447" s="66"/>
      <c r="AA447" s="65"/>
      <c r="AC447" s="66"/>
      <c r="AD447" s="66"/>
      <c r="AE447" s="56"/>
      <c r="AF447" s="56"/>
      <c r="AG447" s="56"/>
      <c r="AH447" s="56"/>
      <c r="AI447" s="69"/>
      <c r="AK447" s="68"/>
      <c r="AL447" s="68"/>
      <c r="AR447" s="72"/>
      <c r="AT447" s="7"/>
      <c r="AU447" s="7"/>
      <c r="AV447" s="73"/>
      <c r="AW447" s="71"/>
      <c r="AX447" s="77"/>
      <c r="BQ447" s="83"/>
      <c r="BS447" s="6"/>
      <c r="BT447" s="11"/>
    </row>
    <row r="448" spans="1:72" ht="15.75" x14ac:dyDescent="0.25">
      <c r="A448" s="50"/>
      <c r="B448" s="52"/>
      <c r="C448" s="7"/>
      <c r="D448" s="7"/>
      <c r="E448" s="7"/>
      <c r="F448" s="7"/>
      <c r="J448" s="56"/>
      <c r="K448" s="57"/>
      <c r="N448" s="59"/>
      <c r="R448" s="60"/>
      <c r="S448" s="62"/>
      <c r="W448" s="65"/>
      <c r="X448" s="104"/>
      <c r="Y448" s="54"/>
      <c r="Z448" s="66"/>
      <c r="AA448" s="65"/>
      <c r="AC448" s="66"/>
      <c r="AD448" s="66"/>
      <c r="AE448" s="56"/>
      <c r="AF448" s="56"/>
      <c r="AG448" s="56"/>
      <c r="AH448" s="56"/>
      <c r="AI448" s="69"/>
      <c r="AK448" s="68"/>
      <c r="AL448" s="68"/>
      <c r="AR448" s="72"/>
      <c r="AT448" s="7"/>
      <c r="AU448" s="7"/>
      <c r="AV448" s="73"/>
      <c r="AW448" s="71"/>
      <c r="AX448" s="77"/>
      <c r="BQ448" s="83"/>
      <c r="BS448" s="6"/>
      <c r="BT448" s="11"/>
    </row>
    <row r="449" spans="1:72" ht="15.75" x14ac:dyDescent="0.25">
      <c r="A449" s="50"/>
      <c r="B449" s="52"/>
      <c r="C449" s="7"/>
      <c r="D449" s="7"/>
      <c r="E449" s="7"/>
      <c r="F449" s="7"/>
      <c r="J449" s="56"/>
      <c r="K449" s="57"/>
      <c r="N449" s="59"/>
      <c r="R449" s="60"/>
      <c r="S449" s="62"/>
      <c r="W449" s="65"/>
      <c r="X449" s="104"/>
      <c r="Y449" s="54"/>
      <c r="Z449" s="66"/>
      <c r="AA449" s="65"/>
      <c r="AC449" s="66"/>
      <c r="AD449" s="66"/>
      <c r="AE449" s="56"/>
      <c r="AF449" s="56"/>
      <c r="AG449" s="56"/>
      <c r="AH449" s="56"/>
      <c r="AI449" s="69"/>
      <c r="AK449" s="68"/>
      <c r="AL449" s="68"/>
      <c r="AR449" s="72"/>
      <c r="AT449" s="7"/>
      <c r="AU449" s="7"/>
      <c r="AV449" s="73"/>
      <c r="AW449" s="71"/>
      <c r="AX449" s="77"/>
      <c r="BQ449" s="83"/>
      <c r="BS449" s="6"/>
      <c r="BT449" s="11"/>
    </row>
    <row r="450" spans="1:72" ht="15.75" x14ac:dyDescent="0.25">
      <c r="A450" s="50"/>
      <c r="B450" s="52"/>
      <c r="C450" s="7"/>
      <c r="D450" s="7"/>
      <c r="E450" s="7"/>
      <c r="F450" s="7"/>
      <c r="J450" s="56"/>
      <c r="K450" s="57"/>
      <c r="N450" s="59"/>
      <c r="R450" s="60"/>
      <c r="S450" s="62"/>
      <c r="W450" s="65"/>
      <c r="X450" s="104"/>
      <c r="Y450" s="54"/>
      <c r="Z450" s="66"/>
      <c r="AA450" s="65"/>
      <c r="AC450" s="66"/>
      <c r="AD450" s="66"/>
      <c r="AE450" s="56"/>
      <c r="AF450" s="56"/>
      <c r="AG450" s="56"/>
      <c r="AH450" s="56"/>
      <c r="AI450" s="69"/>
      <c r="AK450" s="68"/>
      <c r="AL450" s="68"/>
      <c r="AR450" s="72"/>
      <c r="AT450" s="7"/>
      <c r="AU450" s="7"/>
      <c r="AV450" s="73"/>
      <c r="AW450" s="71"/>
      <c r="AX450" s="77"/>
      <c r="BQ450" s="83"/>
      <c r="BS450" s="6"/>
      <c r="BT450" s="11"/>
    </row>
    <row r="451" spans="1:72" ht="15.75" x14ac:dyDescent="0.25">
      <c r="A451" s="50"/>
      <c r="B451" s="52"/>
      <c r="C451" s="7"/>
      <c r="D451" s="7"/>
      <c r="E451" s="7"/>
      <c r="F451" s="7"/>
      <c r="J451" s="56"/>
      <c r="K451" s="57"/>
      <c r="N451" s="59"/>
      <c r="R451" s="60"/>
      <c r="S451" s="62"/>
      <c r="W451" s="65"/>
      <c r="X451" s="104"/>
      <c r="Y451" s="54"/>
      <c r="Z451" s="66"/>
      <c r="AA451" s="65"/>
      <c r="AC451" s="66"/>
      <c r="AD451" s="66"/>
      <c r="AE451" s="56"/>
      <c r="AF451" s="56"/>
      <c r="AG451" s="56"/>
      <c r="AH451" s="56"/>
      <c r="AI451" s="69"/>
      <c r="AK451" s="68"/>
      <c r="AL451" s="68"/>
      <c r="AR451" s="72"/>
      <c r="AT451" s="7"/>
      <c r="AU451" s="7"/>
      <c r="AV451" s="73"/>
      <c r="AW451" s="71"/>
      <c r="AX451" s="77"/>
      <c r="BQ451" s="83"/>
      <c r="BS451" s="6"/>
      <c r="BT451" s="11"/>
    </row>
    <row r="452" spans="1:72" ht="15.75" x14ac:dyDescent="0.25">
      <c r="A452" s="50"/>
      <c r="B452" s="52"/>
      <c r="C452" s="7"/>
      <c r="D452" s="7"/>
      <c r="E452" s="7"/>
      <c r="F452" s="7"/>
      <c r="J452" s="56"/>
      <c r="K452" s="57"/>
      <c r="N452" s="59"/>
      <c r="R452" s="60"/>
      <c r="S452" s="62"/>
      <c r="W452" s="65"/>
      <c r="X452" s="104"/>
      <c r="Y452" s="54"/>
      <c r="Z452" s="66"/>
      <c r="AA452" s="65"/>
      <c r="AC452" s="66"/>
      <c r="AD452" s="66"/>
      <c r="AE452" s="56"/>
      <c r="AF452" s="56"/>
      <c r="AG452" s="56"/>
      <c r="AH452" s="56"/>
      <c r="AI452" s="69"/>
      <c r="AK452" s="68"/>
      <c r="AL452" s="68"/>
      <c r="AR452" s="72"/>
      <c r="AT452" s="7"/>
      <c r="AU452" s="7"/>
      <c r="AV452" s="73"/>
      <c r="AW452" s="71"/>
      <c r="AX452" s="77"/>
      <c r="BQ452" s="83"/>
      <c r="BS452" s="6"/>
      <c r="BT452" s="11"/>
    </row>
    <row r="453" spans="1:72" ht="15.75" x14ac:dyDescent="0.25">
      <c r="A453" s="50"/>
      <c r="B453" s="52"/>
      <c r="C453" s="7"/>
      <c r="D453" s="7"/>
      <c r="E453" s="7"/>
      <c r="F453" s="7"/>
      <c r="J453" s="56"/>
      <c r="K453" s="57"/>
      <c r="N453" s="59"/>
      <c r="R453" s="60"/>
      <c r="S453" s="62"/>
      <c r="W453" s="65"/>
      <c r="X453" s="104"/>
      <c r="Y453" s="54"/>
      <c r="Z453" s="66"/>
      <c r="AA453" s="65"/>
      <c r="AC453" s="66"/>
      <c r="AD453" s="66"/>
      <c r="AE453" s="56"/>
      <c r="AF453" s="56"/>
      <c r="AG453" s="56"/>
      <c r="AH453" s="56"/>
      <c r="AI453" s="69"/>
      <c r="AK453" s="68"/>
      <c r="AL453" s="68"/>
      <c r="AR453" s="72"/>
      <c r="AT453" s="7"/>
      <c r="AU453" s="7"/>
      <c r="AV453" s="73"/>
      <c r="AW453" s="71"/>
      <c r="AX453" s="77"/>
      <c r="BQ453" s="83"/>
      <c r="BS453" s="6"/>
      <c r="BT453" s="11"/>
    </row>
    <row r="454" spans="1:72" ht="15.75" x14ac:dyDescent="0.25">
      <c r="A454" s="50"/>
      <c r="B454" s="52"/>
      <c r="C454" s="7"/>
      <c r="D454" s="7"/>
      <c r="E454" s="7"/>
      <c r="F454" s="7"/>
      <c r="J454" s="56"/>
      <c r="K454" s="57"/>
      <c r="N454" s="59"/>
      <c r="R454" s="60"/>
      <c r="S454" s="62"/>
      <c r="W454" s="65"/>
      <c r="X454" s="104"/>
      <c r="Y454" s="54"/>
      <c r="Z454" s="66"/>
      <c r="AA454" s="65"/>
      <c r="AC454" s="66"/>
      <c r="AD454" s="66"/>
      <c r="AE454" s="56"/>
      <c r="AF454" s="56"/>
      <c r="AG454" s="56"/>
      <c r="AH454" s="56"/>
      <c r="AI454" s="69"/>
      <c r="AK454" s="68"/>
      <c r="AL454" s="68"/>
      <c r="AR454" s="72"/>
      <c r="AT454" s="7"/>
      <c r="AU454" s="7"/>
      <c r="AV454" s="73"/>
      <c r="AW454" s="71"/>
      <c r="AX454" s="77"/>
      <c r="BQ454" s="83"/>
      <c r="BS454" s="6"/>
      <c r="BT454" s="11"/>
    </row>
    <row r="455" spans="1:72" ht="15.75" x14ac:dyDescent="0.25">
      <c r="A455" s="50"/>
      <c r="B455" s="52"/>
      <c r="C455" s="7"/>
      <c r="D455" s="7"/>
      <c r="E455" s="7"/>
      <c r="F455" s="7"/>
      <c r="J455" s="56"/>
      <c r="K455" s="57"/>
      <c r="N455" s="59"/>
      <c r="R455" s="60"/>
      <c r="S455" s="62"/>
      <c r="W455" s="65"/>
      <c r="X455" s="104"/>
      <c r="Y455" s="54"/>
      <c r="Z455" s="66"/>
      <c r="AA455" s="65"/>
      <c r="AC455" s="66"/>
      <c r="AD455" s="66"/>
      <c r="AE455" s="56"/>
      <c r="AF455" s="56"/>
      <c r="AG455" s="56"/>
      <c r="AH455" s="56"/>
      <c r="AI455" s="69"/>
      <c r="AK455" s="68"/>
      <c r="AL455" s="68"/>
      <c r="AR455" s="72"/>
      <c r="AT455" s="7"/>
      <c r="AU455" s="7"/>
      <c r="AV455" s="73"/>
      <c r="AW455" s="71"/>
      <c r="AX455" s="77"/>
      <c r="BQ455" s="83"/>
      <c r="BS455" s="6"/>
      <c r="BT455" s="11"/>
    </row>
    <row r="456" spans="1:72" ht="15.75" x14ac:dyDescent="0.25">
      <c r="A456" s="50"/>
      <c r="B456" s="52"/>
      <c r="C456" s="7"/>
      <c r="D456" s="7"/>
      <c r="E456" s="7"/>
      <c r="F456" s="7"/>
      <c r="J456" s="56"/>
      <c r="K456" s="57"/>
      <c r="N456" s="59"/>
      <c r="R456" s="60"/>
      <c r="S456" s="62"/>
      <c r="W456" s="65"/>
      <c r="X456" s="104"/>
      <c r="Y456" s="54"/>
      <c r="Z456" s="66"/>
      <c r="AA456" s="65"/>
      <c r="AC456" s="66"/>
      <c r="AD456" s="66"/>
      <c r="AE456" s="56"/>
      <c r="AF456" s="56"/>
      <c r="AG456" s="56"/>
      <c r="AH456" s="56"/>
      <c r="AI456" s="69"/>
      <c r="AK456" s="68"/>
      <c r="AL456" s="68"/>
      <c r="AR456" s="72"/>
      <c r="AT456" s="7"/>
      <c r="AU456" s="7"/>
      <c r="AV456" s="73"/>
      <c r="AW456" s="71"/>
      <c r="AX456" s="77"/>
      <c r="BQ456" s="83"/>
      <c r="BS456" s="6"/>
      <c r="BT456" s="11"/>
    </row>
    <row r="457" spans="1:72" ht="15.75" x14ac:dyDescent="0.25">
      <c r="A457" s="50"/>
      <c r="B457" s="52"/>
      <c r="C457" s="7"/>
      <c r="D457" s="7"/>
      <c r="E457" s="7"/>
      <c r="F457" s="7"/>
      <c r="J457" s="56"/>
      <c r="K457" s="57"/>
      <c r="N457" s="59"/>
      <c r="R457" s="60"/>
      <c r="S457" s="62"/>
      <c r="W457" s="65"/>
      <c r="X457" s="104"/>
      <c r="Y457" s="54"/>
      <c r="Z457" s="66"/>
      <c r="AA457" s="65"/>
      <c r="AC457" s="66"/>
      <c r="AD457" s="66"/>
      <c r="AE457" s="56"/>
      <c r="AF457" s="56"/>
      <c r="AG457" s="56"/>
      <c r="AH457" s="56"/>
      <c r="AI457" s="69"/>
      <c r="AK457" s="68"/>
      <c r="AL457" s="68"/>
      <c r="AR457" s="72"/>
      <c r="AT457" s="7"/>
      <c r="AU457" s="7"/>
      <c r="AV457" s="73"/>
      <c r="AW457" s="71"/>
      <c r="AX457" s="77"/>
      <c r="BQ457" s="83"/>
      <c r="BS457" s="6"/>
      <c r="BT457" s="11"/>
    </row>
    <row r="458" spans="1:72" ht="15.75" x14ac:dyDescent="0.25">
      <c r="A458" s="50"/>
      <c r="B458" s="52"/>
      <c r="C458" s="7"/>
      <c r="D458" s="7"/>
      <c r="E458" s="7"/>
      <c r="F458" s="7"/>
      <c r="J458" s="56"/>
      <c r="K458" s="57"/>
      <c r="N458" s="59"/>
      <c r="R458" s="60"/>
      <c r="S458" s="62"/>
      <c r="W458" s="65"/>
      <c r="X458" s="104"/>
      <c r="Y458" s="54"/>
      <c r="Z458" s="66"/>
      <c r="AA458" s="65"/>
      <c r="AC458" s="66"/>
      <c r="AD458" s="66"/>
      <c r="AE458" s="56"/>
      <c r="AF458" s="56"/>
      <c r="AG458" s="56"/>
      <c r="AH458" s="56"/>
      <c r="AI458" s="69"/>
      <c r="AK458" s="68"/>
      <c r="AL458" s="68"/>
      <c r="AR458" s="72"/>
      <c r="AT458" s="7"/>
      <c r="AU458" s="7"/>
      <c r="AV458" s="73"/>
      <c r="AW458" s="71"/>
      <c r="AX458" s="77"/>
      <c r="BQ458" s="83"/>
      <c r="BS458" s="6"/>
      <c r="BT458" s="11"/>
    </row>
    <row r="459" spans="1:72" ht="15.75" x14ac:dyDescent="0.25">
      <c r="A459" s="50"/>
      <c r="B459" s="52"/>
      <c r="C459" s="7"/>
      <c r="D459" s="7"/>
      <c r="E459" s="7"/>
      <c r="F459" s="7"/>
      <c r="J459" s="56"/>
      <c r="K459" s="57"/>
      <c r="N459" s="59"/>
      <c r="R459" s="60"/>
      <c r="S459" s="62"/>
      <c r="W459" s="65"/>
      <c r="X459" s="104"/>
      <c r="Y459" s="54"/>
      <c r="Z459" s="66"/>
      <c r="AA459" s="65"/>
      <c r="AC459" s="66"/>
      <c r="AD459" s="66"/>
      <c r="AE459" s="56"/>
      <c r="AF459" s="56"/>
      <c r="AG459" s="56"/>
      <c r="AH459" s="56"/>
      <c r="AI459" s="69"/>
      <c r="AK459" s="68"/>
      <c r="AL459" s="68"/>
      <c r="AR459" s="72"/>
      <c r="AT459" s="7"/>
      <c r="AU459" s="7"/>
      <c r="AV459" s="73"/>
      <c r="AW459" s="71"/>
      <c r="AX459" s="77"/>
      <c r="BQ459" s="83"/>
      <c r="BS459" s="6"/>
      <c r="BT459" s="11"/>
    </row>
    <row r="460" spans="1:72" ht="15.75" x14ac:dyDescent="0.25">
      <c r="A460" s="50"/>
      <c r="B460" s="52"/>
      <c r="C460" s="7"/>
      <c r="D460" s="7"/>
      <c r="E460" s="7"/>
      <c r="F460" s="7"/>
      <c r="J460" s="56"/>
      <c r="K460" s="57"/>
      <c r="N460" s="59"/>
      <c r="R460" s="60"/>
      <c r="S460" s="62"/>
      <c r="W460" s="65"/>
      <c r="X460" s="104"/>
      <c r="Y460" s="54"/>
      <c r="Z460" s="66"/>
      <c r="AA460" s="65"/>
      <c r="AC460" s="66"/>
      <c r="AD460" s="66"/>
      <c r="AE460" s="56"/>
      <c r="AF460" s="56"/>
      <c r="AG460" s="56"/>
      <c r="AH460" s="56"/>
      <c r="AI460" s="69"/>
      <c r="AK460" s="68"/>
      <c r="AL460" s="68"/>
      <c r="AR460" s="72"/>
      <c r="AT460" s="7"/>
      <c r="AU460" s="7"/>
      <c r="AV460" s="73"/>
      <c r="AW460" s="71"/>
      <c r="AX460" s="77"/>
      <c r="BQ460" s="83"/>
      <c r="BS460" s="6"/>
      <c r="BT460" s="11"/>
    </row>
    <row r="461" spans="1:72" ht="15.75" x14ac:dyDescent="0.25">
      <c r="A461" s="50"/>
      <c r="B461" s="52"/>
      <c r="C461" s="7"/>
      <c r="D461" s="7"/>
      <c r="E461" s="7"/>
      <c r="F461" s="7"/>
      <c r="J461" s="56"/>
      <c r="K461" s="57"/>
      <c r="N461" s="59"/>
      <c r="R461" s="60"/>
      <c r="S461" s="62"/>
      <c r="W461" s="65"/>
      <c r="X461" s="104"/>
      <c r="Y461" s="54"/>
      <c r="Z461" s="66"/>
      <c r="AA461" s="65"/>
      <c r="AC461" s="66"/>
      <c r="AD461" s="66"/>
      <c r="AE461" s="56"/>
      <c r="AF461" s="56"/>
      <c r="AG461" s="56"/>
      <c r="AH461" s="56"/>
      <c r="AI461" s="69"/>
      <c r="AK461" s="68"/>
      <c r="AL461" s="68"/>
      <c r="AR461" s="72"/>
      <c r="AT461" s="7"/>
      <c r="AU461" s="7"/>
      <c r="AV461" s="73"/>
      <c r="AW461" s="71"/>
      <c r="AX461" s="77"/>
      <c r="BQ461" s="83"/>
      <c r="BS461" s="6"/>
      <c r="BT461" s="11"/>
    </row>
    <row r="462" spans="1:72" ht="15.75" x14ac:dyDescent="0.25">
      <c r="A462" s="50"/>
      <c r="B462" s="52"/>
      <c r="C462" s="7"/>
      <c r="D462" s="7"/>
      <c r="E462" s="7"/>
      <c r="F462" s="7"/>
      <c r="J462" s="56"/>
      <c r="K462" s="57"/>
      <c r="N462" s="59"/>
      <c r="R462" s="60"/>
      <c r="S462" s="62"/>
      <c r="W462" s="65"/>
      <c r="X462" s="104"/>
      <c r="Y462" s="54"/>
      <c r="Z462" s="66"/>
      <c r="AA462" s="65"/>
      <c r="AC462" s="66"/>
      <c r="AD462" s="66"/>
      <c r="AE462" s="56"/>
      <c r="AF462" s="56"/>
      <c r="AG462" s="56"/>
      <c r="AH462" s="56"/>
      <c r="AI462" s="69"/>
      <c r="AK462" s="68"/>
      <c r="AL462" s="68"/>
      <c r="AR462" s="72"/>
      <c r="AT462" s="7"/>
      <c r="AU462" s="7"/>
      <c r="AV462" s="73"/>
      <c r="AW462" s="71"/>
      <c r="AX462" s="77"/>
      <c r="BQ462" s="83"/>
      <c r="BS462" s="6"/>
      <c r="BT462" s="11"/>
    </row>
    <row r="463" spans="1:72" ht="15.75" x14ac:dyDescent="0.25">
      <c r="A463" s="50"/>
      <c r="B463" s="52"/>
      <c r="C463" s="7"/>
      <c r="D463" s="7"/>
      <c r="E463" s="7"/>
      <c r="F463" s="7"/>
      <c r="J463" s="56"/>
      <c r="K463" s="57"/>
      <c r="N463" s="59"/>
      <c r="R463" s="60"/>
      <c r="S463" s="62"/>
      <c r="W463" s="65"/>
      <c r="X463" s="104"/>
      <c r="Y463" s="54"/>
      <c r="Z463" s="66"/>
      <c r="AA463" s="65"/>
      <c r="AC463" s="66"/>
      <c r="AD463" s="66"/>
      <c r="AE463" s="56"/>
      <c r="AF463" s="56"/>
      <c r="AG463" s="56"/>
      <c r="AH463" s="56"/>
      <c r="AI463" s="69"/>
      <c r="AK463" s="68"/>
      <c r="AL463" s="68"/>
      <c r="AR463" s="72"/>
      <c r="AT463" s="7"/>
      <c r="AU463" s="7"/>
      <c r="AV463" s="73"/>
      <c r="AW463" s="71"/>
      <c r="AX463" s="77"/>
      <c r="BQ463" s="83"/>
      <c r="BS463" s="6"/>
      <c r="BT463" s="11"/>
    </row>
    <row r="464" spans="1:72" ht="15.75" x14ac:dyDescent="0.25">
      <c r="A464" s="50"/>
      <c r="B464" s="52"/>
      <c r="C464" s="7"/>
      <c r="D464" s="7"/>
      <c r="E464" s="7"/>
      <c r="F464" s="7"/>
      <c r="J464" s="56"/>
      <c r="K464" s="57"/>
      <c r="N464" s="59"/>
      <c r="R464" s="60"/>
      <c r="S464" s="62"/>
      <c r="W464" s="65"/>
      <c r="X464" s="104"/>
      <c r="Y464" s="54"/>
      <c r="Z464" s="66"/>
      <c r="AA464" s="65"/>
      <c r="AC464" s="66"/>
      <c r="AD464" s="66"/>
      <c r="AE464" s="56"/>
      <c r="AF464" s="56"/>
      <c r="AG464" s="56"/>
      <c r="AH464" s="56"/>
      <c r="AI464" s="69"/>
      <c r="AK464" s="68"/>
      <c r="AL464" s="68"/>
      <c r="AR464" s="72"/>
      <c r="AT464" s="7"/>
      <c r="AU464" s="7"/>
      <c r="AV464" s="73"/>
      <c r="AW464" s="71"/>
      <c r="AX464" s="77"/>
      <c r="BQ464" s="83"/>
      <c r="BS464" s="6"/>
      <c r="BT464" s="11"/>
    </row>
    <row r="465" spans="1:72" ht="15.75" x14ac:dyDescent="0.25">
      <c r="A465" s="50"/>
      <c r="B465" s="52"/>
      <c r="C465" s="7"/>
      <c r="D465" s="7"/>
      <c r="E465" s="7"/>
      <c r="F465" s="7"/>
      <c r="J465" s="56"/>
      <c r="K465" s="57"/>
      <c r="N465" s="59"/>
      <c r="R465" s="60"/>
      <c r="S465" s="62"/>
      <c r="W465" s="65"/>
      <c r="X465" s="104"/>
      <c r="Y465" s="54"/>
      <c r="Z465" s="66"/>
      <c r="AA465" s="65"/>
      <c r="AC465" s="66"/>
      <c r="AD465" s="66"/>
      <c r="AE465" s="56"/>
      <c r="AF465" s="56"/>
      <c r="AG465" s="56"/>
      <c r="AH465" s="56"/>
      <c r="AI465" s="69"/>
      <c r="AK465" s="68"/>
      <c r="AL465" s="68"/>
      <c r="AR465" s="72"/>
      <c r="AT465" s="7"/>
      <c r="AU465" s="7"/>
      <c r="AV465" s="73"/>
      <c r="AW465" s="71"/>
      <c r="AX465" s="77"/>
      <c r="BQ465" s="83"/>
      <c r="BS465" s="6"/>
      <c r="BT465" s="11"/>
    </row>
    <row r="466" spans="1:72" ht="15.75" x14ac:dyDescent="0.25">
      <c r="A466" s="50"/>
      <c r="B466" s="52"/>
      <c r="C466" s="7"/>
      <c r="D466" s="7"/>
      <c r="E466" s="7"/>
      <c r="F466" s="7"/>
      <c r="J466" s="56"/>
      <c r="K466" s="57"/>
      <c r="N466" s="59"/>
      <c r="R466" s="60"/>
      <c r="S466" s="62"/>
      <c r="W466" s="65"/>
      <c r="X466" s="104"/>
      <c r="Y466" s="54"/>
      <c r="Z466" s="66"/>
      <c r="AA466" s="65"/>
      <c r="AC466" s="66"/>
      <c r="AD466" s="66"/>
      <c r="AE466" s="56"/>
      <c r="AF466" s="56"/>
      <c r="AG466" s="56"/>
      <c r="AH466" s="56"/>
      <c r="AI466" s="69"/>
      <c r="AK466" s="68"/>
      <c r="AL466" s="68"/>
      <c r="AR466" s="72"/>
      <c r="AT466" s="7"/>
      <c r="AU466" s="7"/>
      <c r="AV466" s="73"/>
      <c r="AW466" s="71"/>
      <c r="AX466" s="77"/>
      <c r="BQ466" s="83"/>
      <c r="BS466" s="6"/>
      <c r="BT466" s="11"/>
    </row>
    <row r="467" spans="1:72" ht="15.75" x14ac:dyDescent="0.25">
      <c r="A467" s="50"/>
      <c r="B467" s="52"/>
      <c r="C467" s="7"/>
      <c r="D467" s="7"/>
      <c r="E467" s="7"/>
      <c r="F467" s="7"/>
      <c r="J467" s="56"/>
      <c r="K467" s="57"/>
      <c r="N467" s="59"/>
      <c r="R467" s="60"/>
      <c r="S467" s="62"/>
      <c r="W467" s="65"/>
      <c r="X467" s="104"/>
      <c r="Y467" s="54"/>
      <c r="Z467" s="66"/>
      <c r="AA467" s="65"/>
      <c r="AC467" s="66"/>
      <c r="AD467" s="66"/>
      <c r="AE467" s="56"/>
      <c r="AF467" s="56"/>
      <c r="AG467" s="56"/>
      <c r="AH467" s="56"/>
      <c r="AI467" s="69"/>
      <c r="AK467" s="68"/>
      <c r="AL467" s="68"/>
      <c r="AR467" s="72"/>
      <c r="AT467" s="7"/>
      <c r="AU467" s="7"/>
      <c r="AV467" s="73"/>
      <c r="AW467" s="71"/>
      <c r="AX467" s="77"/>
      <c r="BQ467" s="83"/>
      <c r="BS467" s="6"/>
      <c r="BT467" s="11"/>
    </row>
    <row r="468" spans="1:72" ht="15.75" x14ac:dyDescent="0.25">
      <c r="A468" s="50"/>
      <c r="B468" s="52"/>
      <c r="C468" s="7"/>
      <c r="D468" s="7"/>
      <c r="E468" s="7"/>
      <c r="F468" s="7"/>
      <c r="J468" s="56"/>
      <c r="K468" s="57"/>
      <c r="N468" s="59"/>
      <c r="R468" s="60"/>
      <c r="S468" s="62"/>
      <c r="W468" s="65"/>
      <c r="X468" s="104"/>
      <c r="Y468" s="54"/>
      <c r="Z468" s="66"/>
      <c r="AA468" s="65"/>
      <c r="AC468" s="66"/>
      <c r="AD468" s="66"/>
      <c r="AE468" s="56"/>
      <c r="AF468" s="56"/>
      <c r="AG468" s="56"/>
      <c r="AH468" s="56"/>
      <c r="AI468" s="69"/>
      <c r="AK468" s="68"/>
      <c r="AL468" s="68"/>
      <c r="AR468" s="72"/>
      <c r="AT468" s="7"/>
      <c r="AU468" s="7"/>
      <c r="AV468" s="73"/>
      <c r="AW468" s="71"/>
      <c r="AX468" s="77"/>
      <c r="BQ468" s="83"/>
      <c r="BS468" s="6"/>
      <c r="BT468" s="11"/>
    </row>
    <row r="469" spans="1:72" ht="15.75" x14ac:dyDescent="0.25">
      <c r="A469" s="50"/>
      <c r="B469" s="52"/>
      <c r="C469" s="7"/>
      <c r="D469" s="7"/>
      <c r="E469" s="7"/>
      <c r="F469" s="7"/>
      <c r="J469" s="56"/>
      <c r="K469" s="57"/>
      <c r="N469" s="59"/>
      <c r="R469" s="60"/>
      <c r="S469" s="62"/>
      <c r="W469" s="65"/>
      <c r="X469" s="104"/>
      <c r="Y469" s="54"/>
      <c r="Z469" s="66"/>
      <c r="AA469" s="65"/>
      <c r="AC469" s="66"/>
      <c r="AD469" s="66"/>
      <c r="AE469" s="56"/>
      <c r="AF469" s="56"/>
      <c r="AG469" s="56"/>
      <c r="AH469" s="56"/>
      <c r="AI469" s="69"/>
      <c r="AK469" s="68"/>
      <c r="AL469" s="68"/>
      <c r="AR469" s="72"/>
      <c r="AT469" s="7"/>
      <c r="AU469" s="7"/>
      <c r="AV469" s="73"/>
      <c r="AW469" s="71"/>
      <c r="AX469" s="77"/>
      <c r="BQ469" s="83"/>
      <c r="BS469" s="6"/>
      <c r="BT469" s="11"/>
    </row>
    <row r="470" spans="1:72" ht="15.75" x14ac:dyDescent="0.25">
      <c r="A470" s="50"/>
      <c r="B470" s="52"/>
      <c r="C470" s="7"/>
      <c r="D470" s="7"/>
      <c r="E470" s="7"/>
      <c r="F470" s="7"/>
      <c r="J470" s="56"/>
      <c r="K470" s="57"/>
      <c r="N470" s="59"/>
      <c r="R470" s="60"/>
      <c r="S470" s="62"/>
      <c r="W470" s="65"/>
      <c r="X470" s="104"/>
      <c r="Y470" s="54"/>
      <c r="Z470" s="66"/>
      <c r="AA470" s="65"/>
      <c r="AC470" s="66"/>
      <c r="AD470" s="66"/>
      <c r="AE470" s="56"/>
      <c r="AF470" s="56"/>
      <c r="AG470" s="56"/>
      <c r="AH470" s="56"/>
      <c r="AI470" s="69"/>
      <c r="AK470" s="68"/>
      <c r="AL470" s="68"/>
      <c r="AR470" s="72"/>
      <c r="AT470" s="7"/>
      <c r="AU470" s="7"/>
      <c r="AV470" s="73"/>
      <c r="AW470" s="71"/>
      <c r="AX470" s="77"/>
      <c r="BQ470" s="83"/>
      <c r="BS470" s="6"/>
      <c r="BT470" s="11"/>
    </row>
    <row r="471" spans="1:72" x14ac:dyDescent="0.25">
      <c r="A471" s="50"/>
      <c r="N471" s="59"/>
      <c r="W471" s="65"/>
      <c r="X471" s="104"/>
      <c r="Y471" s="54"/>
      <c r="Z471" s="66"/>
    </row>
    <row r="472" spans="1:72" x14ac:dyDescent="0.25">
      <c r="N472" s="59"/>
      <c r="W472" s="65"/>
      <c r="X472" s="104"/>
      <c r="Y472" s="54"/>
      <c r="Z472" s="66"/>
    </row>
    <row r="473" spans="1:72" x14ac:dyDescent="0.25">
      <c r="N473" s="59"/>
      <c r="W473" s="65"/>
      <c r="X473" s="104"/>
      <c r="Y473" s="54"/>
      <c r="Z473" s="66"/>
    </row>
    <row r="474" spans="1:72" x14ac:dyDescent="0.25">
      <c r="N474" s="59"/>
      <c r="W474" s="65"/>
      <c r="X474" s="104"/>
      <c r="Y474" s="54"/>
      <c r="Z474" s="66"/>
    </row>
    <row r="475" spans="1:72" x14ac:dyDescent="0.25">
      <c r="N475" s="59"/>
      <c r="W475" s="65"/>
      <c r="X475" s="104"/>
      <c r="Y475" s="54"/>
      <c r="Z475" s="66"/>
    </row>
    <row r="476" spans="1:72" x14ac:dyDescent="0.25">
      <c r="W476" s="65"/>
      <c r="X476" s="104"/>
      <c r="Y476" s="54"/>
      <c r="Z476" s="66"/>
    </row>
    <row r="477" spans="1:72" x14ac:dyDescent="0.25">
      <c r="W477" s="65"/>
      <c r="X477" s="104"/>
      <c r="Y477" s="54"/>
      <c r="Z477" s="66"/>
    </row>
    <row r="478" spans="1:72" x14ac:dyDescent="0.25">
      <c r="W478" s="65"/>
      <c r="X478" s="104"/>
      <c r="Y478" s="54"/>
      <c r="Z478" s="66"/>
    </row>
    <row r="479" spans="1:72" x14ac:dyDescent="0.25">
      <c r="W479" s="65"/>
      <c r="X479" s="104"/>
      <c r="Y479" s="54"/>
      <c r="Z479" s="66"/>
    </row>
    <row r="480" spans="1:72" x14ac:dyDescent="0.25">
      <c r="W480" s="65"/>
      <c r="X480" s="104"/>
      <c r="Y480" s="54"/>
      <c r="Z480" s="66"/>
    </row>
    <row r="481" spans="23:26" x14ac:dyDescent="0.25">
      <c r="W481" s="65"/>
      <c r="X481" s="104"/>
      <c r="Y481" s="54"/>
      <c r="Z481" s="66"/>
    </row>
    <row r="482" spans="23:26" x14ac:dyDescent="0.25">
      <c r="W482" s="65"/>
      <c r="X482" s="104"/>
      <c r="Y482" s="54"/>
      <c r="Z482" s="66"/>
    </row>
    <row r="483" spans="23:26" x14ac:dyDescent="0.25">
      <c r="W483" s="65"/>
      <c r="X483" s="104"/>
      <c r="Y483" s="54"/>
      <c r="Z483" s="66"/>
    </row>
    <row r="484" spans="23:26" x14ac:dyDescent="0.25">
      <c r="W484" s="65"/>
      <c r="X484" s="104"/>
      <c r="Y484" s="54"/>
      <c r="Z484" s="66"/>
    </row>
    <row r="485" spans="23:26" x14ac:dyDescent="0.25">
      <c r="W485" s="65"/>
      <c r="X485" s="104"/>
      <c r="Y485" s="54"/>
      <c r="Z485" s="66"/>
    </row>
    <row r="486" spans="23:26" x14ac:dyDescent="0.25">
      <c r="W486" s="65"/>
      <c r="X486" s="104"/>
      <c r="Y486" s="54"/>
      <c r="Z486" s="66"/>
    </row>
    <row r="487" spans="23:26" x14ac:dyDescent="0.25">
      <c r="W487" s="65"/>
      <c r="X487" s="104"/>
      <c r="Y487" s="54"/>
      <c r="Z487" s="66"/>
    </row>
    <row r="488" spans="23:26" x14ac:dyDescent="0.25">
      <c r="W488" s="65"/>
      <c r="X488" s="104"/>
      <c r="Y488" s="54"/>
      <c r="Z488" s="66"/>
    </row>
    <row r="489" spans="23:26" x14ac:dyDescent="0.25">
      <c r="W489" s="65"/>
      <c r="X489" s="104"/>
      <c r="Y489" s="54"/>
      <c r="Z489" s="66"/>
    </row>
    <row r="490" spans="23:26" x14ac:dyDescent="0.25">
      <c r="W490" s="65"/>
      <c r="X490" s="104"/>
      <c r="Y490" s="54"/>
      <c r="Z490" s="66"/>
    </row>
    <row r="491" spans="23:26" x14ac:dyDescent="0.25">
      <c r="W491" s="65"/>
      <c r="X491" s="104"/>
      <c r="Y491" s="54"/>
      <c r="Z491" s="66"/>
    </row>
    <row r="492" spans="23:26" x14ac:dyDescent="0.25">
      <c r="W492" s="65"/>
      <c r="X492" s="104"/>
      <c r="Y492" s="54"/>
      <c r="Z492" s="66"/>
    </row>
    <row r="493" spans="23:26" x14ac:dyDescent="0.25">
      <c r="W493" s="65"/>
      <c r="X493" s="104"/>
      <c r="Y493" s="54"/>
      <c r="Z493" s="66"/>
    </row>
    <row r="494" spans="23:26" x14ac:dyDescent="0.25">
      <c r="W494" s="65"/>
      <c r="X494" s="104"/>
      <c r="Y494" s="54"/>
      <c r="Z494" s="66"/>
    </row>
    <row r="495" spans="23:26" x14ac:dyDescent="0.25">
      <c r="W495" s="65"/>
      <c r="X495" s="104"/>
      <c r="Y495" s="54"/>
      <c r="Z495" s="66"/>
    </row>
    <row r="496" spans="23:26" x14ac:dyDescent="0.25">
      <c r="W496" s="65"/>
      <c r="X496" s="104"/>
      <c r="Y496" s="54"/>
      <c r="Z496" s="66"/>
    </row>
    <row r="497" spans="23:26" x14ac:dyDescent="0.25">
      <c r="W497" s="65"/>
      <c r="X497" s="104"/>
      <c r="Y497" s="54"/>
      <c r="Z497" s="66"/>
    </row>
    <row r="498" spans="23:26" x14ac:dyDescent="0.25">
      <c r="W498" s="65"/>
      <c r="X498" s="104"/>
      <c r="Y498" s="54"/>
      <c r="Z498" s="66"/>
    </row>
    <row r="499" spans="23:26" x14ac:dyDescent="0.25">
      <c r="W499" s="65"/>
      <c r="X499" s="104"/>
      <c r="Y499" s="54"/>
      <c r="Z499" s="66"/>
    </row>
    <row r="500" spans="23:26" x14ac:dyDescent="0.25">
      <c r="W500" s="65"/>
      <c r="X500" s="104"/>
      <c r="Y500" s="54"/>
      <c r="Z500" s="66"/>
    </row>
    <row r="501" spans="23:26" x14ac:dyDescent="0.25">
      <c r="W501" s="65"/>
      <c r="X501" s="104"/>
      <c r="Y501" s="54"/>
      <c r="Z501" s="66"/>
    </row>
    <row r="502" spans="23:26" x14ac:dyDescent="0.25">
      <c r="W502" s="65"/>
      <c r="X502" s="104"/>
      <c r="Y502" s="54"/>
      <c r="Z502" s="66"/>
    </row>
    <row r="503" spans="23:26" x14ac:dyDescent="0.25">
      <c r="W503" s="65"/>
      <c r="X503" s="104"/>
      <c r="Y503" s="54"/>
      <c r="Z503" s="66"/>
    </row>
    <row r="504" spans="23:26" x14ac:dyDescent="0.25">
      <c r="W504" s="65"/>
      <c r="X504" s="104"/>
      <c r="Y504" s="54"/>
      <c r="Z504" s="66"/>
    </row>
    <row r="505" spans="23:26" x14ac:dyDescent="0.25">
      <c r="W505" s="65"/>
      <c r="X505" s="104"/>
      <c r="Y505" s="54"/>
      <c r="Z505" s="66"/>
    </row>
    <row r="506" spans="23:26" x14ac:dyDescent="0.25">
      <c r="W506" s="65"/>
      <c r="X506" s="104"/>
      <c r="Y506" s="54"/>
      <c r="Z506" s="66"/>
    </row>
    <row r="507" spans="23:26" x14ac:dyDescent="0.25">
      <c r="W507" s="65"/>
      <c r="X507" s="104"/>
      <c r="Y507" s="54"/>
      <c r="Z507" s="66"/>
    </row>
    <row r="508" spans="23:26" x14ac:dyDescent="0.25">
      <c r="W508" s="65"/>
      <c r="X508" s="104"/>
      <c r="Y508" s="54"/>
      <c r="Z508" s="66"/>
    </row>
    <row r="509" spans="23:26" x14ac:dyDescent="0.25">
      <c r="W509" s="65"/>
      <c r="X509" s="104"/>
      <c r="Y509" s="54"/>
      <c r="Z509" s="66"/>
    </row>
    <row r="510" spans="23:26" x14ac:dyDescent="0.25">
      <c r="W510" s="65"/>
      <c r="X510" s="104"/>
      <c r="Y510" s="54"/>
      <c r="Z510" s="66"/>
    </row>
    <row r="511" spans="23:26" x14ac:dyDescent="0.25">
      <c r="W511" s="65"/>
      <c r="X511" s="104"/>
      <c r="Y511" s="54"/>
      <c r="Z511" s="66"/>
    </row>
    <row r="512" spans="23:26" x14ac:dyDescent="0.25">
      <c r="W512" s="65"/>
      <c r="X512" s="104"/>
      <c r="Y512" s="54"/>
      <c r="Z512" s="66"/>
    </row>
    <row r="513" spans="23:26" x14ac:dyDescent="0.25">
      <c r="W513" s="65"/>
      <c r="X513" s="104"/>
      <c r="Y513" s="54"/>
      <c r="Z513" s="66"/>
    </row>
    <row r="514" spans="23:26" x14ac:dyDescent="0.25">
      <c r="W514" s="65"/>
      <c r="X514" s="104"/>
      <c r="Y514" s="54"/>
      <c r="Z514" s="66"/>
    </row>
    <row r="515" spans="23:26" x14ac:dyDescent="0.25">
      <c r="W515" s="65"/>
      <c r="X515" s="104"/>
      <c r="Y515" s="54"/>
      <c r="Z515" s="66"/>
    </row>
    <row r="516" spans="23:26" x14ac:dyDescent="0.25">
      <c r="W516" s="65"/>
      <c r="X516" s="104"/>
      <c r="Y516" s="54"/>
      <c r="Z516" s="66"/>
    </row>
    <row r="517" spans="23:26" x14ac:dyDescent="0.25">
      <c r="W517" s="65"/>
      <c r="X517" s="104"/>
      <c r="Y517" s="54"/>
      <c r="Z517" s="66"/>
    </row>
    <row r="518" spans="23:26" x14ac:dyDescent="0.25">
      <c r="W518" s="65"/>
      <c r="X518" s="104"/>
      <c r="Y518" s="54"/>
      <c r="Z518" s="66"/>
    </row>
    <row r="519" spans="23:26" x14ac:dyDescent="0.25">
      <c r="W519" s="65"/>
      <c r="X519" s="104"/>
      <c r="Y519" s="54"/>
      <c r="Z519" s="66"/>
    </row>
    <row r="520" spans="23:26" x14ac:dyDescent="0.25">
      <c r="W520" s="65"/>
      <c r="X520" s="104"/>
      <c r="Y520" s="54"/>
      <c r="Z520" s="66"/>
    </row>
    <row r="521" spans="23:26" x14ac:dyDescent="0.25">
      <c r="W521" s="65"/>
      <c r="X521" s="104"/>
      <c r="Y521" s="54"/>
      <c r="Z521" s="66"/>
    </row>
    <row r="522" spans="23:26" x14ac:dyDescent="0.25">
      <c r="W522" s="65"/>
      <c r="X522" s="104"/>
      <c r="Y522" s="54"/>
      <c r="Z522" s="66"/>
    </row>
    <row r="523" spans="23:26" x14ac:dyDescent="0.25">
      <c r="W523" s="65"/>
      <c r="X523" s="104"/>
      <c r="Y523" s="54"/>
      <c r="Z523" s="66"/>
    </row>
    <row r="524" spans="23:26" x14ac:dyDescent="0.25">
      <c r="W524" s="65"/>
      <c r="X524" s="104"/>
      <c r="Y524" s="54"/>
      <c r="Z524" s="66"/>
    </row>
    <row r="525" spans="23:26" x14ac:dyDescent="0.25">
      <c r="W525" s="65"/>
      <c r="X525" s="104"/>
      <c r="Y525" s="54"/>
      <c r="Z525" s="66"/>
    </row>
    <row r="526" spans="23:26" x14ac:dyDescent="0.25">
      <c r="W526" s="65"/>
      <c r="X526" s="104"/>
      <c r="Y526" s="54"/>
      <c r="Z526" s="66"/>
    </row>
    <row r="527" spans="23:26" x14ac:dyDescent="0.25">
      <c r="W527" s="65"/>
      <c r="X527" s="104"/>
      <c r="Y527" s="54"/>
      <c r="Z527" s="66"/>
    </row>
    <row r="528" spans="23:26" x14ac:dyDescent="0.25">
      <c r="W528" s="65"/>
      <c r="X528" s="104"/>
      <c r="Y528" s="54"/>
      <c r="Z528" s="66"/>
    </row>
    <row r="529" spans="23:26" x14ac:dyDescent="0.25">
      <c r="W529" s="65"/>
      <c r="X529" s="104"/>
      <c r="Y529" s="54"/>
      <c r="Z529" s="66"/>
    </row>
    <row r="530" spans="23:26" x14ac:dyDescent="0.25">
      <c r="W530" s="65"/>
      <c r="X530" s="104"/>
      <c r="Y530" s="54"/>
      <c r="Z530" s="66"/>
    </row>
    <row r="531" spans="23:26" x14ac:dyDescent="0.25">
      <c r="W531" s="65"/>
      <c r="X531" s="104"/>
      <c r="Y531" s="54"/>
      <c r="Z531" s="66"/>
    </row>
    <row r="532" spans="23:26" x14ac:dyDescent="0.25">
      <c r="W532" s="65"/>
      <c r="X532" s="104"/>
      <c r="Y532" s="54"/>
      <c r="Z532" s="66"/>
    </row>
    <row r="533" spans="23:26" x14ac:dyDescent="0.25">
      <c r="W533" s="65"/>
      <c r="X533" s="104"/>
      <c r="Y533" s="54"/>
      <c r="Z533" s="66"/>
    </row>
    <row r="534" spans="23:26" x14ac:dyDescent="0.25">
      <c r="W534" s="65"/>
      <c r="X534" s="104"/>
      <c r="Y534" s="54"/>
      <c r="Z534" s="66"/>
    </row>
    <row r="535" spans="23:26" x14ac:dyDescent="0.25">
      <c r="W535" s="65"/>
      <c r="X535" s="104"/>
      <c r="Y535" s="54"/>
      <c r="Z535" s="66"/>
    </row>
    <row r="536" spans="23:26" x14ac:dyDescent="0.25">
      <c r="W536" s="65"/>
      <c r="X536" s="104"/>
      <c r="Y536" s="54"/>
      <c r="Z536" s="66"/>
    </row>
    <row r="537" spans="23:26" x14ac:dyDescent="0.25">
      <c r="W537" s="65"/>
      <c r="X537" s="104"/>
      <c r="Y537" s="54"/>
      <c r="Z537" s="66"/>
    </row>
    <row r="538" spans="23:26" x14ac:dyDescent="0.25">
      <c r="W538" s="65"/>
      <c r="X538" s="104"/>
      <c r="Y538" s="54"/>
      <c r="Z538" s="66"/>
    </row>
    <row r="539" spans="23:26" x14ac:dyDescent="0.25">
      <c r="W539" s="65"/>
      <c r="X539" s="104"/>
      <c r="Y539" s="54"/>
      <c r="Z539" s="66"/>
    </row>
    <row r="540" spans="23:26" x14ac:dyDescent="0.25">
      <c r="W540" s="65"/>
      <c r="X540" s="104"/>
      <c r="Y540" s="54"/>
      <c r="Z540" s="66"/>
    </row>
    <row r="541" spans="23:26" x14ac:dyDescent="0.25">
      <c r="W541" s="65"/>
      <c r="X541" s="104"/>
      <c r="Y541" s="54"/>
      <c r="Z541" s="66"/>
    </row>
    <row r="542" spans="23:26" x14ac:dyDescent="0.25">
      <c r="W542" s="65"/>
      <c r="X542" s="104"/>
      <c r="Y542" s="54"/>
      <c r="Z542" s="66"/>
    </row>
    <row r="543" spans="23:26" x14ac:dyDescent="0.25">
      <c r="W543" s="65"/>
      <c r="X543" s="104"/>
      <c r="Y543" s="54"/>
      <c r="Z543" s="66"/>
    </row>
    <row r="544" spans="23:26" x14ac:dyDescent="0.25">
      <c r="W544" s="65"/>
      <c r="X544" s="104"/>
      <c r="Y544" s="54"/>
      <c r="Z544" s="66"/>
    </row>
    <row r="545" spans="23:26" x14ac:dyDescent="0.25">
      <c r="W545" s="65"/>
      <c r="X545" s="104"/>
      <c r="Y545" s="54"/>
      <c r="Z545" s="66"/>
    </row>
    <row r="546" spans="23:26" x14ac:dyDescent="0.25">
      <c r="W546" s="65"/>
      <c r="X546" s="104"/>
      <c r="Y546" s="54"/>
      <c r="Z546" s="66"/>
    </row>
    <row r="547" spans="23:26" x14ac:dyDescent="0.25">
      <c r="W547" s="65"/>
      <c r="X547" s="104"/>
      <c r="Y547" s="54"/>
      <c r="Z547" s="66"/>
    </row>
    <row r="548" spans="23:26" x14ac:dyDescent="0.25">
      <c r="W548" s="65"/>
      <c r="X548" s="104"/>
      <c r="Y548" s="54"/>
      <c r="Z548" s="66"/>
    </row>
    <row r="549" spans="23:26" x14ac:dyDescent="0.25">
      <c r="W549" s="65"/>
      <c r="X549" s="104"/>
      <c r="Y549" s="54"/>
      <c r="Z549" s="66"/>
    </row>
    <row r="550" spans="23:26" x14ac:dyDescent="0.25">
      <c r="W550" s="65"/>
      <c r="X550" s="104"/>
      <c r="Y550" s="54"/>
      <c r="Z550" s="66"/>
    </row>
    <row r="551" spans="23:26" x14ac:dyDescent="0.25">
      <c r="W551" s="65"/>
      <c r="X551" s="104"/>
      <c r="Y551" s="54"/>
      <c r="Z551" s="66"/>
    </row>
    <row r="552" spans="23:26" x14ac:dyDescent="0.25">
      <c r="W552" s="65"/>
      <c r="X552" s="104"/>
      <c r="Y552" s="54"/>
      <c r="Z552" s="66"/>
    </row>
    <row r="553" spans="23:26" x14ac:dyDescent="0.25">
      <c r="W553" s="65"/>
      <c r="X553" s="104"/>
      <c r="Y553" s="54"/>
      <c r="Z553" s="66"/>
    </row>
    <row r="554" spans="23:26" x14ac:dyDescent="0.25">
      <c r="W554" s="65"/>
      <c r="X554" s="104"/>
      <c r="Y554" s="54"/>
      <c r="Z554" s="66"/>
    </row>
    <row r="555" spans="23:26" x14ac:dyDescent="0.25">
      <c r="W555" s="65"/>
      <c r="X555" s="104"/>
      <c r="Y555" s="54"/>
      <c r="Z555" s="66"/>
    </row>
    <row r="556" spans="23:26" x14ac:dyDescent="0.25">
      <c r="W556" s="65"/>
      <c r="X556" s="104"/>
      <c r="Y556" s="54"/>
      <c r="Z556" s="66"/>
    </row>
    <row r="557" spans="23:26" x14ac:dyDescent="0.25">
      <c r="W557" s="65"/>
      <c r="X557" s="104"/>
      <c r="Y557" s="54"/>
      <c r="Z557" s="66"/>
    </row>
    <row r="558" spans="23:26" x14ac:dyDescent="0.25">
      <c r="W558" s="65"/>
      <c r="X558" s="104"/>
      <c r="Y558" s="54"/>
      <c r="Z558" s="66"/>
    </row>
    <row r="559" spans="23:26" x14ac:dyDescent="0.25">
      <c r="W559" s="65"/>
      <c r="X559" s="104"/>
      <c r="Y559" s="54"/>
      <c r="Z559" s="66"/>
    </row>
    <row r="560" spans="23:26" x14ac:dyDescent="0.25">
      <c r="W560" s="65"/>
      <c r="X560" s="104"/>
      <c r="Y560" s="54"/>
      <c r="Z560" s="66"/>
    </row>
    <row r="561" spans="23:26" x14ac:dyDescent="0.25">
      <c r="W561" s="65"/>
      <c r="X561" s="104"/>
      <c r="Y561" s="54"/>
      <c r="Z561" s="66"/>
    </row>
    <row r="562" spans="23:26" x14ac:dyDescent="0.25">
      <c r="W562" s="65"/>
      <c r="X562" s="104"/>
      <c r="Y562" s="54"/>
      <c r="Z562" s="66"/>
    </row>
    <row r="563" spans="23:26" x14ac:dyDescent="0.25">
      <c r="W563" s="65"/>
      <c r="X563" s="104"/>
      <c r="Y563" s="54"/>
      <c r="Z563" s="66"/>
    </row>
    <row r="564" spans="23:26" x14ac:dyDescent="0.25">
      <c r="W564" s="65"/>
      <c r="X564" s="104"/>
      <c r="Y564" s="54"/>
      <c r="Z564" s="66"/>
    </row>
    <row r="565" spans="23:26" x14ac:dyDescent="0.25">
      <c r="W565" s="65"/>
      <c r="X565" s="104"/>
      <c r="Y565" s="54"/>
      <c r="Z565" s="66"/>
    </row>
    <row r="566" spans="23:26" x14ac:dyDescent="0.25">
      <c r="W566" s="65"/>
      <c r="X566" s="104"/>
      <c r="Y566" s="54"/>
      <c r="Z566" s="66"/>
    </row>
    <row r="567" spans="23:26" x14ac:dyDescent="0.25">
      <c r="W567" s="65"/>
      <c r="X567" s="104"/>
      <c r="Y567" s="54"/>
      <c r="Z567" s="66"/>
    </row>
    <row r="568" spans="23:26" x14ac:dyDescent="0.25">
      <c r="W568" s="65"/>
      <c r="X568" s="104"/>
      <c r="Y568" s="54"/>
      <c r="Z568" s="66"/>
    </row>
    <row r="569" spans="23:26" x14ac:dyDescent="0.25">
      <c r="W569" s="65"/>
      <c r="X569" s="104"/>
      <c r="Y569" s="54"/>
      <c r="Z569" s="66"/>
    </row>
    <row r="570" spans="23:26" x14ac:dyDescent="0.25">
      <c r="W570" s="65"/>
      <c r="X570" s="104"/>
      <c r="Y570" s="54"/>
      <c r="Z570" s="66"/>
    </row>
    <row r="571" spans="23:26" x14ac:dyDescent="0.25">
      <c r="W571" s="65"/>
      <c r="X571" s="104"/>
      <c r="Y571" s="54"/>
      <c r="Z571" s="66"/>
    </row>
    <row r="572" spans="23:26" x14ac:dyDescent="0.25">
      <c r="W572" s="65"/>
      <c r="X572" s="104"/>
      <c r="Y572" s="54"/>
      <c r="Z572" s="66"/>
    </row>
    <row r="573" spans="23:26" x14ac:dyDescent="0.25">
      <c r="W573" s="65"/>
      <c r="X573" s="104"/>
      <c r="Y573" s="54"/>
      <c r="Z573" s="66"/>
    </row>
    <row r="574" spans="23:26" x14ac:dyDescent="0.25">
      <c r="W574" s="65"/>
      <c r="X574" s="104"/>
      <c r="Y574" s="54"/>
      <c r="Z574" s="66"/>
    </row>
    <row r="575" spans="23:26" x14ac:dyDescent="0.25">
      <c r="W575" s="65"/>
      <c r="X575" s="104"/>
      <c r="Y575" s="54"/>
      <c r="Z575" s="66"/>
    </row>
    <row r="576" spans="23:26" x14ac:dyDescent="0.25">
      <c r="W576" s="65"/>
      <c r="X576" s="104"/>
      <c r="Y576" s="54"/>
      <c r="Z576" s="66"/>
    </row>
    <row r="577" spans="23:26" x14ac:dyDescent="0.25">
      <c r="W577" s="65"/>
      <c r="X577" s="104"/>
      <c r="Y577" s="54"/>
      <c r="Z577" s="66"/>
    </row>
    <row r="578" spans="23:26" x14ac:dyDescent="0.25">
      <c r="W578" s="65"/>
      <c r="X578" s="104"/>
      <c r="Y578" s="54"/>
      <c r="Z578" s="66"/>
    </row>
    <row r="579" spans="23:26" x14ac:dyDescent="0.25">
      <c r="W579" s="65"/>
      <c r="X579" s="104"/>
      <c r="Y579" s="54"/>
      <c r="Z579" s="66"/>
    </row>
    <row r="580" spans="23:26" x14ac:dyDescent="0.25">
      <c r="W580" s="65"/>
      <c r="X580" s="104"/>
      <c r="Y580" s="54"/>
      <c r="Z580" s="66"/>
    </row>
    <row r="581" spans="23:26" x14ac:dyDescent="0.25">
      <c r="W581" s="65"/>
      <c r="X581" s="104"/>
      <c r="Y581" s="54"/>
      <c r="Z581" s="66"/>
    </row>
    <row r="582" spans="23:26" x14ac:dyDescent="0.25">
      <c r="W582" s="65"/>
      <c r="X582" s="104"/>
      <c r="Y582" s="54"/>
      <c r="Z582" s="66"/>
    </row>
    <row r="583" spans="23:26" x14ac:dyDescent="0.25">
      <c r="W583" s="65"/>
      <c r="X583" s="104"/>
      <c r="Y583" s="54"/>
      <c r="Z583" s="66"/>
    </row>
    <row r="584" spans="23:26" x14ac:dyDescent="0.25">
      <c r="W584" s="65"/>
      <c r="X584" s="104"/>
      <c r="Y584" s="54"/>
      <c r="Z584" s="66"/>
    </row>
    <row r="585" spans="23:26" x14ac:dyDescent="0.25">
      <c r="W585" s="65"/>
      <c r="X585" s="104"/>
      <c r="Y585" s="54"/>
      <c r="Z585" s="66"/>
    </row>
    <row r="586" spans="23:26" x14ac:dyDescent="0.25">
      <c r="W586" s="65"/>
      <c r="X586" s="104"/>
      <c r="Y586" s="54"/>
      <c r="Z586" s="66"/>
    </row>
    <row r="587" spans="23:26" x14ac:dyDescent="0.25">
      <c r="W587" s="65"/>
      <c r="X587" s="104"/>
      <c r="Y587" s="54"/>
      <c r="Z587" s="66"/>
    </row>
    <row r="588" spans="23:26" x14ac:dyDescent="0.25">
      <c r="W588" s="65"/>
      <c r="X588" s="104"/>
      <c r="Y588" s="54"/>
      <c r="Z588" s="66"/>
    </row>
    <row r="589" spans="23:26" x14ac:dyDescent="0.25">
      <c r="W589" s="65"/>
      <c r="X589" s="104"/>
      <c r="Y589" s="54"/>
      <c r="Z589" s="66"/>
    </row>
    <row r="590" spans="23:26" x14ac:dyDescent="0.25">
      <c r="W590" s="65"/>
      <c r="X590" s="104"/>
      <c r="Y590" s="54"/>
      <c r="Z590" s="66"/>
    </row>
    <row r="591" spans="23:26" x14ac:dyDescent="0.25">
      <c r="W591" s="65"/>
      <c r="X591" s="104"/>
      <c r="Y591" s="54"/>
      <c r="Z591" s="66"/>
    </row>
    <row r="592" spans="23:26" x14ac:dyDescent="0.25">
      <c r="W592" s="65"/>
      <c r="X592" s="104"/>
      <c r="Y592" s="54"/>
      <c r="Z592" s="66"/>
    </row>
    <row r="593" spans="23:26" x14ac:dyDescent="0.25">
      <c r="W593" s="65"/>
      <c r="X593" s="104"/>
      <c r="Y593" s="54"/>
      <c r="Z593" s="66"/>
    </row>
    <row r="594" spans="23:26" x14ac:dyDescent="0.25">
      <c r="W594" s="65"/>
      <c r="X594" s="104"/>
      <c r="Y594" s="54"/>
      <c r="Z594" s="66"/>
    </row>
    <row r="595" spans="23:26" x14ac:dyDescent="0.25">
      <c r="W595" s="65"/>
      <c r="X595" s="104"/>
      <c r="Y595" s="54"/>
      <c r="Z595" s="66"/>
    </row>
    <row r="596" spans="23:26" x14ac:dyDescent="0.25">
      <c r="W596" s="65"/>
      <c r="X596" s="104"/>
      <c r="Y596" s="54"/>
      <c r="Z596" s="66"/>
    </row>
    <row r="597" spans="23:26" x14ac:dyDescent="0.25">
      <c r="W597" s="65"/>
      <c r="X597" s="104"/>
      <c r="Y597" s="54"/>
      <c r="Z597" s="66"/>
    </row>
    <row r="598" spans="23:26" x14ac:dyDescent="0.25">
      <c r="W598" s="65"/>
      <c r="X598" s="104"/>
      <c r="Y598" s="54"/>
      <c r="Z598" s="66"/>
    </row>
    <row r="599" spans="23:26" x14ac:dyDescent="0.25">
      <c r="W599" s="65"/>
      <c r="X599" s="104"/>
      <c r="Y599" s="54"/>
      <c r="Z599" s="66"/>
    </row>
    <row r="600" spans="23:26" x14ac:dyDescent="0.25">
      <c r="W600" s="65"/>
      <c r="X600" s="104"/>
      <c r="Y600" s="54"/>
      <c r="Z600" s="66"/>
    </row>
    <row r="601" spans="23:26" x14ac:dyDescent="0.25">
      <c r="W601" s="65"/>
      <c r="X601" s="104"/>
      <c r="Y601" s="54"/>
      <c r="Z601" s="66"/>
    </row>
    <row r="602" spans="23:26" x14ac:dyDescent="0.25">
      <c r="W602" s="65"/>
      <c r="X602" s="104"/>
      <c r="Y602" s="54"/>
      <c r="Z602" s="66"/>
    </row>
    <row r="603" spans="23:26" x14ac:dyDescent="0.25">
      <c r="W603" s="65"/>
      <c r="X603" s="104"/>
      <c r="Y603" s="54"/>
      <c r="Z603" s="66"/>
    </row>
    <row r="604" spans="23:26" x14ac:dyDescent="0.25">
      <c r="W604" s="65"/>
      <c r="X604" s="104"/>
      <c r="Y604" s="54"/>
      <c r="Z604" s="66"/>
    </row>
    <row r="605" spans="23:26" x14ac:dyDescent="0.25">
      <c r="W605" s="65"/>
      <c r="X605" s="104"/>
      <c r="Y605" s="54"/>
      <c r="Z605" s="66"/>
    </row>
    <row r="606" spans="23:26" x14ac:dyDescent="0.25">
      <c r="W606" s="65"/>
      <c r="X606" s="104"/>
      <c r="Y606" s="54"/>
      <c r="Z606" s="66"/>
    </row>
    <row r="607" spans="23:26" x14ac:dyDescent="0.25">
      <c r="W607" s="65"/>
      <c r="X607" s="104"/>
      <c r="Y607" s="54"/>
      <c r="Z607" s="66"/>
    </row>
    <row r="608" spans="23:26" x14ac:dyDescent="0.25">
      <c r="W608" s="65"/>
      <c r="X608" s="104"/>
      <c r="Y608" s="54"/>
      <c r="Z608" s="66"/>
    </row>
    <row r="609" spans="23:26" x14ac:dyDescent="0.25">
      <c r="W609" s="65"/>
      <c r="X609" s="104"/>
      <c r="Y609" s="54"/>
      <c r="Z609" s="66"/>
    </row>
    <row r="610" spans="23:26" x14ac:dyDescent="0.25">
      <c r="W610" s="65"/>
      <c r="X610" s="104"/>
      <c r="Y610" s="54"/>
      <c r="Z610" s="66"/>
    </row>
    <row r="611" spans="23:26" x14ac:dyDescent="0.25">
      <c r="W611" s="65"/>
      <c r="X611" s="104"/>
      <c r="Y611" s="54"/>
      <c r="Z611" s="66"/>
    </row>
    <row r="612" spans="23:26" x14ac:dyDescent="0.25">
      <c r="W612" s="65"/>
      <c r="X612" s="104"/>
      <c r="Y612" s="54"/>
      <c r="Z612" s="66"/>
    </row>
    <row r="613" spans="23:26" x14ac:dyDescent="0.25">
      <c r="W613" s="65"/>
      <c r="X613" s="104"/>
      <c r="Y613" s="54"/>
      <c r="Z613" s="66"/>
    </row>
    <row r="614" spans="23:26" x14ac:dyDescent="0.25">
      <c r="W614" s="65"/>
      <c r="X614" s="104"/>
      <c r="Y614" s="54"/>
      <c r="Z614" s="66"/>
    </row>
    <row r="615" spans="23:26" x14ac:dyDescent="0.25">
      <c r="W615" s="65"/>
      <c r="X615" s="104"/>
      <c r="Y615" s="54"/>
      <c r="Z615" s="66"/>
    </row>
    <row r="616" spans="23:26" x14ac:dyDescent="0.25">
      <c r="W616" s="65"/>
      <c r="X616" s="104"/>
      <c r="Y616" s="54"/>
      <c r="Z616" s="66"/>
    </row>
    <row r="617" spans="23:26" x14ac:dyDescent="0.25">
      <c r="W617" s="65"/>
      <c r="X617" s="104"/>
      <c r="Y617" s="54"/>
      <c r="Z617" s="66"/>
    </row>
    <row r="618" spans="23:26" x14ac:dyDescent="0.25">
      <c r="W618" s="65"/>
      <c r="X618" s="104"/>
      <c r="Y618" s="54"/>
      <c r="Z618" s="66"/>
    </row>
    <row r="619" spans="23:26" x14ac:dyDescent="0.25">
      <c r="W619" s="65"/>
      <c r="X619" s="104"/>
      <c r="Y619" s="54"/>
      <c r="Z619" s="66"/>
    </row>
    <row r="620" spans="23:26" x14ac:dyDescent="0.25">
      <c r="W620" s="65"/>
      <c r="X620" s="104"/>
      <c r="Y620" s="54"/>
      <c r="Z620" s="66"/>
    </row>
    <row r="621" spans="23:26" x14ac:dyDescent="0.25">
      <c r="W621" s="65"/>
      <c r="X621" s="104"/>
      <c r="Y621" s="54"/>
      <c r="Z621" s="66"/>
    </row>
    <row r="622" spans="23:26" x14ac:dyDescent="0.25">
      <c r="W622" s="65"/>
      <c r="X622" s="104"/>
      <c r="Y622" s="54"/>
      <c r="Z622" s="66"/>
    </row>
    <row r="623" spans="23:26" x14ac:dyDescent="0.25">
      <c r="W623" s="65"/>
      <c r="X623" s="104"/>
      <c r="Y623" s="54"/>
      <c r="Z623" s="66"/>
    </row>
    <row r="624" spans="23:26" x14ac:dyDescent="0.25">
      <c r="W624" s="65"/>
      <c r="X624" s="104"/>
      <c r="Y624" s="54"/>
      <c r="Z624" s="66"/>
    </row>
    <row r="625" spans="23:26" x14ac:dyDescent="0.25">
      <c r="W625" s="65"/>
      <c r="X625" s="104"/>
      <c r="Y625" s="54"/>
      <c r="Z625" s="66"/>
    </row>
    <row r="626" spans="23:26" x14ac:dyDescent="0.25">
      <c r="W626" s="65"/>
      <c r="X626" s="104"/>
      <c r="Y626" s="54"/>
      <c r="Z626" s="66"/>
    </row>
    <row r="627" spans="23:26" x14ac:dyDescent="0.25">
      <c r="W627" s="65"/>
      <c r="X627" s="104"/>
      <c r="Y627" s="54"/>
      <c r="Z627" s="66"/>
    </row>
    <row r="628" spans="23:26" x14ac:dyDescent="0.25">
      <c r="W628" s="65"/>
      <c r="X628" s="104"/>
      <c r="Y628" s="54"/>
      <c r="Z628" s="66"/>
    </row>
    <row r="629" spans="23:26" x14ac:dyDescent="0.25">
      <c r="W629" s="65"/>
      <c r="X629" s="104"/>
      <c r="Y629" s="54"/>
      <c r="Z629" s="66"/>
    </row>
    <row r="630" spans="23:26" x14ac:dyDescent="0.25">
      <c r="W630" s="65"/>
      <c r="X630" s="104"/>
      <c r="Y630" s="54"/>
      <c r="Z630" s="66"/>
    </row>
    <row r="631" spans="23:26" x14ac:dyDescent="0.25">
      <c r="W631" s="65"/>
      <c r="X631" s="104"/>
      <c r="Y631" s="54"/>
      <c r="Z631" s="66"/>
    </row>
    <row r="632" spans="23:26" x14ac:dyDescent="0.25">
      <c r="W632" s="65"/>
      <c r="X632" s="104"/>
      <c r="Y632" s="54"/>
      <c r="Z632" s="66"/>
    </row>
    <row r="633" spans="23:26" x14ac:dyDescent="0.25">
      <c r="W633" s="65"/>
      <c r="X633" s="104"/>
      <c r="Y633" s="54"/>
      <c r="Z633" s="66"/>
    </row>
    <row r="634" spans="23:26" x14ac:dyDescent="0.25">
      <c r="W634" s="65"/>
      <c r="X634" s="104"/>
      <c r="Y634" s="54"/>
      <c r="Z634" s="66"/>
    </row>
    <row r="635" spans="23:26" x14ac:dyDescent="0.25">
      <c r="W635" s="65"/>
      <c r="X635" s="104"/>
      <c r="Y635" s="54"/>
      <c r="Z635" s="66"/>
    </row>
    <row r="636" spans="23:26" x14ac:dyDescent="0.25">
      <c r="W636" s="65"/>
      <c r="X636" s="104"/>
      <c r="Y636" s="54"/>
      <c r="Z636" s="66"/>
    </row>
    <row r="637" spans="23:26" x14ac:dyDescent="0.25">
      <c r="W637" s="65"/>
      <c r="X637" s="104"/>
      <c r="Y637" s="54"/>
      <c r="Z637" s="66"/>
    </row>
    <row r="638" spans="23:26" x14ac:dyDescent="0.25">
      <c r="W638" s="65"/>
      <c r="X638" s="104"/>
      <c r="Y638" s="54"/>
      <c r="Z638" s="66"/>
    </row>
    <row r="639" spans="23:26" x14ac:dyDescent="0.25">
      <c r="W639" s="65"/>
      <c r="X639" s="104"/>
      <c r="Y639" s="54"/>
      <c r="Z639" s="66"/>
    </row>
    <row r="640" spans="23: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row r="8786" spans="23:26" x14ac:dyDescent="0.25">
      <c r="W8786" s="65"/>
      <c r="X8786" s="104"/>
      <c r="Y8786" s="54"/>
      <c r="Z8786" s="66"/>
    </row>
    <row r="8787" spans="23:26" x14ac:dyDescent="0.25">
      <c r="W8787" s="65"/>
      <c r="X8787" s="104"/>
      <c r="Y8787" s="54"/>
      <c r="Z8787" s="66"/>
    </row>
    <row r="8788" spans="23:26" x14ac:dyDescent="0.25">
      <c r="W8788" s="65"/>
      <c r="X8788" s="104"/>
      <c r="Y8788" s="54"/>
      <c r="Z8788" s="66"/>
    </row>
    <row r="8789" spans="23:26" x14ac:dyDescent="0.25">
      <c r="W8789" s="65"/>
      <c r="X8789" s="104"/>
      <c r="Y8789" s="54"/>
      <c r="Z8789" s="66"/>
    </row>
    <row r="8790" spans="23:26" x14ac:dyDescent="0.25">
      <c r="W8790" s="65"/>
      <c r="X8790" s="104"/>
      <c r="Y8790" s="54"/>
      <c r="Z8790" s="66"/>
    </row>
    <row r="8791" spans="23:26" x14ac:dyDescent="0.25">
      <c r="W8791" s="65"/>
      <c r="X8791" s="104"/>
      <c r="Y8791" s="54"/>
      <c r="Z8791" s="66"/>
    </row>
    <row r="8792" spans="23:26" x14ac:dyDescent="0.25">
      <c r="W8792" s="65"/>
      <c r="X8792" s="104"/>
      <c r="Y8792" s="54"/>
      <c r="Z8792" s="66"/>
    </row>
    <row r="8793" spans="23:26" x14ac:dyDescent="0.25">
      <c r="W8793" s="65"/>
      <c r="X8793" s="104"/>
      <c r="Y8793" s="54"/>
      <c r="Z8793" s="66"/>
    </row>
    <row r="8794" spans="23:26" x14ac:dyDescent="0.25">
      <c r="W8794" s="65"/>
      <c r="X8794" s="104"/>
      <c r="Y8794" s="54"/>
      <c r="Z8794" s="66"/>
    </row>
    <row r="8795" spans="23:26" x14ac:dyDescent="0.25">
      <c r="W8795" s="65"/>
      <c r="X8795" s="104"/>
      <c r="Y8795" s="54"/>
      <c r="Z8795" s="66"/>
    </row>
    <row r="8796" spans="23:26" x14ac:dyDescent="0.25">
      <c r="W8796" s="65"/>
      <c r="X8796" s="104"/>
      <c r="Y8796" s="54"/>
      <c r="Z8796" s="66"/>
    </row>
    <row r="8797" spans="23:26" x14ac:dyDescent="0.25">
      <c r="W8797" s="65"/>
      <c r="X8797" s="104"/>
      <c r="Y8797" s="54"/>
      <c r="Z8797" s="66"/>
    </row>
    <row r="8798" spans="23:26" x14ac:dyDescent="0.25">
      <c r="W8798" s="65"/>
      <c r="X8798" s="104"/>
      <c r="Y8798" s="54"/>
      <c r="Z8798" s="66"/>
    </row>
    <row r="8799" spans="23:26" x14ac:dyDescent="0.25">
      <c r="W8799" s="65"/>
      <c r="X8799" s="104"/>
      <c r="Y8799" s="54"/>
      <c r="Z8799" s="66"/>
    </row>
    <row r="8800" spans="23:26" x14ac:dyDescent="0.25">
      <c r="W8800" s="65"/>
      <c r="X8800" s="104"/>
      <c r="Y8800" s="54"/>
      <c r="Z8800" s="66"/>
    </row>
    <row r="8801" spans="23:26" x14ac:dyDescent="0.25">
      <c r="W8801" s="65"/>
      <c r="X8801" s="104"/>
      <c r="Y8801" s="54"/>
      <c r="Z8801" s="66"/>
    </row>
    <row r="8802" spans="23:26" x14ac:dyDescent="0.25">
      <c r="W8802" s="65"/>
      <c r="X8802" s="104"/>
      <c r="Y8802" s="54"/>
      <c r="Z8802" s="66"/>
    </row>
    <row r="8803" spans="23:26" x14ac:dyDescent="0.25">
      <c r="W8803" s="65"/>
      <c r="X8803" s="104"/>
      <c r="Y8803" s="54"/>
      <c r="Z8803" s="66"/>
    </row>
    <row r="8804" spans="23:26" x14ac:dyDescent="0.25">
      <c r="W8804" s="65"/>
      <c r="X8804" s="104"/>
      <c r="Y8804" s="54"/>
      <c r="Z8804" s="66"/>
    </row>
    <row r="8805" spans="23:26" x14ac:dyDescent="0.25">
      <c r="W8805" s="65"/>
      <c r="X8805" s="104"/>
      <c r="Y8805" s="54"/>
      <c r="Z8805" s="66"/>
    </row>
    <row r="8806" spans="23:26" x14ac:dyDescent="0.25">
      <c r="W8806" s="65"/>
      <c r="X8806" s="104"/>
      <c r="Y8806" s="54"/>
      <c r="Z8806" s="66"/>
    </row>
    <row r="8807" spans="23:26" x14ac:dyDescent="0.25">
      <c r="W8807" s="65"/>
      <c r="X8807" s="104"/>
      <c r="Y8807" s="54"/>
      <c r="Z8807" s="66"/>
    </row>
    <row r="8808" spans="23:26" x14ac:dyDescent="0.25">
      <c r="W8808" s="65"/>
      <c r="X8808" s="104"/>
      <c r="Y8808" s="54"/>
      <c r="Z8808" s="66"/>
    </row>
    <row r="8809" spans="23:26" x14ac:dyDescent="0.25">
      <c r="W8809" s="65"/>
      <c r="X8809" s="104"/>
      <c r="Y8809" s="54"/>
      <c r="Z8809" s="66"/>
    </row>
    <row r="8810" spans="23:26" x14ac:dyDescent="0.25">
      <c r="W8810" s="65"/>
      <c r="X8810" s="104"/>
      <c r="Y8810" s="54"/>
      <c r="Z8810" s="66"/>
    </row>
    <row r="8811" spans="23:26" x14ac:dyDescent="0.25">
      <c r="W8811" s="65"/>
      <c r="X8811" s="104"/>
      <c r="Y8811" s="54"/>
      <c r="Z8811" s="66"/>
    </row>
    <row r="8812" spans="23:26" x14ac:dyDescent="0.25">
      <c r="W8812" s="65"/>
      <c r="X8812" s="104"/>
      <c r="Y8812" s="54"/>
      <c r="Z8812" s="66"/>
    </row>
    <row r="8813" spans="23:26" x14ac:dyDescent="0.25">
      <c r="W8813" s="65"/>
      <c r="X8813" s="104"/>
      <c r="Y8813" s="54"/>
      <c r="Z8813" s="66"/>
    </row>
    <row r="8814" spans="23:26" x14ac:dyDescent="0.25">
      <c r="W8814" s="65"/>
      <c r="X8814" s="104"/>
      <c r="Y8814" s="54"/>
      <c r="Z8814" s="66"/>
    </row>
    <row r="8815" spans="23:26" x14ac:dyDescent="0.25">
      <c r="W8815" s="65"/>
      <c r="X8815" s="104"/>
      <c r="Y8815" s="54"/>
      <c r="Z8815" s="66"/>
    </row>
    <row r="8816" spans="23:26" x14ac:dyDescent="0.25">
      <c r="W8816" s="65"/>
      <c r="X8816" s="104"/>
      <c r="Y8816" s="54"/>
      <c r="Z8816" s="66"/>
    </row>
    <row r="8817" spans="23:26" x14ac:dyDescent="0.25">
      <c r="W8817" s="65"/>
      <c r="X8817" s="104"/>
      <c r="Y8817" s="54"/>
      <c r="Z8817" s="66"/>
    </row>
    <row r="8818" spans="23:26" x14ac:dyDescent="0.25">
      <c r="W8818" s="65"/>
      <c r="X8818" s="104"/>
      <c r="Y8818" s="54"/>
      <c r="Z8818" s="66"/>
    </row>
    <row r="8819" spans="23:26" x14ac:dyDescent="0.25">
      <c r="W8819" s="65"/>
      <c r="X8819" s="104"/>
      <c r="Y8819" s="54"/>
      <c r="Z8819" s="66"/>
    </row>
    <row r="8820" spans="23:26" x14ac:dyDescent="0.25">
      <c r="W8820" s="65"/>
      <c r="X8820" s="104"/>
      <c r="Y8820" s="54"/>
      <c r="Z8820" s="66"/>
    </row>
    <row r="8821" spans="23:26" x14ac:dyDescent="0.25">
      <c r="W8821" s="65"/>
      <c r="X8821" s="104"/>
      <c r="Y8821" s="54"/>
      <c r="Z8821" s="66"/>
    </row>
    <row r="8822" spans="23:26" x14ac:dyDescent="0.25">
      <c r="W8822" s="65"/>
      <c r="X8822" s="104"/>
      <c r="Y8822" s="54"/>
      <c r="Z8822" s="66"/>
    </row>
    <row r="8823" spans="23:26" x14ac:dyDescent="0.25">
      <c r="W8823" s="65"/>
      <c r="X8823" s="104"/>
      <c r="Y8823" s="54"/>
      <c r="Z8823" s="66"/>
    </row>
    <row r="8824" spans="23:26" x14ac:dyDescent="0.25">
      <c r="W8824" s="65"/>
      <c r="X8824" s="104"/>
      <c r="Y8824" s="54"/>
      <c r="Z8824" s="66"/>
    </row>
    <row r="8825" spans="23:26" x14ac:dyDescent="0.25">
      <c r="W8825" s="65"/>
      <c r="X8825" s="104"/>
      <c r="Y8825" s="54"/>
      <c r="Z8825" s="66"/>
    </row>
    <row r="8826" spans="23:26" x14ac:dyDescent="0.25">
      <c r="W8826" s="65"/>
      <c r="X8826" s="104"/>
      <c r="Y8826" s="54"/>
      <c r="Z8826" s="66"/>
    </row>
    <row r="8827" spans="23:26" x14ac:dyDescent="0.25">
      <c r="W8827" s="65"/>
      <c r="X8827" s="104"/>
      <c r="Y8827" s="54"/>
      <c r="Z8827" s="66"/>
    </row>
    <row r="8828" spans="23:26" x14ac:dyDescent="0.25">
      <c r="W8828" s="65"/>
      <c r="X8828" s="104"/>
      <c r="Y8828" s="54"/>
      <c r="Z8828" s="66"/>
    </row>
    <row r="8829" spans="23:26" x14ac:dyDescent="0.25">
      <c r="W8829" s="65"/>
      <c r="X8829" s="104"/>
      <c r="Y8829" s="54"/>
      <c r="Z8829" s="66"/>
    </row>
    <row r="8830" spans="23:26" x14ac:dyDescent="0.25">
      <c r="W8830" s="65"/>
      <c r="X8830" s="104"/>
      <c r="Y8830" s="54"/>
      <c r="Z8830" s="66"/>
    </row>
    <row r="8831" spans="23:26" x14ac:dyDescent="0.25">
      <c r="W8831" s="65"/>
      <c r="X8831" s="104"/>
      <c r="Y8831" s="54"/>
      <c r="Z8831" s="66"/>
    </row>
    <row r="8832" spans="23:26" x14ac:dyDescent="0.25">
      <c r="W8832" s="65"/>
      <c r="X8832" s="104"/>
      <c r="Y8832" s="54"/>
      <c r="Z8832" s="66"/>
    </row>
    <row r="8833" spans="23:26" x14ac:dyDescent="0.25">
      <c r="W8833" s="65"/>
      <c r="X8833" s="104"/>
      <c r="Y8833" s="54"/>
      <c r="Z8833" s="66"/>
    </row>
    <row r="8834" spans="23:26" x14ac:dyDescent="0.25">
      <c r="W8834" s="65"/>
      <c r="X8834" s="104"/>
      <c r="Y8834" s="54"/>
      <c r="Z8834" s="66"/>
    </row>
    <row r="8835" spans="23:26" x14ac:dyDescent="0.25">
      <c r="W8835" s="65"/>
      <c r="X8835" s="104"/>
      <c r="Y8835" s="54"/>
      <c r="Z8835" s="66"/>
    </row>
    <row r="8836" spans="23:26" x14ac:dyDescent="0.25">
      <c r="W8836" s="65"/>
      <c r="X8836" s="104"/>
      <c r="Y8836" s="54"/>
      <c r="Z8836" s="66"/>
    </row>
    <row r="8837" spans="23:26" x14ac:dyDescent="0.25">
      <c r="W8837" s="65"/>
      <c r="X8837" s="104"/>
      <c r="Y8837" s="54"/>
      <c r="Z8837" s="66"/>
    </row>
    <row r="8838" spans="23:26" x14ac:dyDescent="0.25">
      <c r="W8838" s="65"/>
      <c r="X8838" s="104"/>
      <c r="Y8838" s="54"/>
      <c r="Z8838" s="66"/>
    </row>
    <row r="8839" spans="23:26" x14ac:dyDescent="0.25">
      <c r="W8839" s="65"/>
      <c r="X8839" s="104"/>
      <c r="Y8839" s="54"/>
      <c r="Z8839" s="66"/>
    </row>
    <row r="8840" spans="23:26" x14ac:dyDescent="0.25">
      <c r="W8840" s="65"/>
      <c r="X8840" s="104"/>
      <c r="Y8840" s="54"/>
      <c r="Z8840" s="66"/>
    </row>
    <row r="8841" spans="23:26" x14ac:dyDescent="0.25">
      <c r="W8841" s="65"/>
      <c r="X8841" s="104"/>
      <c r="Y8841" s="54"/>
      <c r="Z8841" s="66"/>
    </row>
    <row r="8842" spans="23:26" x14ac:dyDescent="0.25">
      <c r="W8842" s="65"/>
      <c r="X8842" s="104"/>
      <c r="Y8842" s="54"/>
      <c r="Z8842" s="66"/>
    </row>
    <row r="8843" spans="23:26" x14ac:dyDescent="0.25">
      <c r="W8843" s="65"/>
      <c r="X8843" s="104"/>
      <c r="Y8843" s="54"/>
      <c r="Z8843" s="66"/>
    </row>
    <row r="8844" spans="23:26" x14ac:dyDescent="0.25">
      <c r="W8844" s="65"/>
      <c r="X8844" s="104"/>
      <c r="Y8844" s="54"/>
      <c r="Z8844" s="66"/>
    </row>
    <row r="8845" spans="23:26" x14ac:dyDescent="0.25">
      <c r="W8845" s="65"/>
      <c r="X8845" s="104"/>
      <c r="Y8845" s="54"/>
      <c r="Z8845" s="66"/>
    </row>
    <row r="8846" spans="23:26" x14ac:dyDescent="0.25">
      <c r="W8846" s="65"/>
      <c r="X8846" s="104"/>
      <c r="Y8846" s="54"/>
      <c r="Z8846" s="66"/>
    </row>
    <row r="8847" spans="23:26" x14ac:dyDescent="0.25">
      <c r="W8847" s="65"/>
      <c r="X8847" s="104"/>
      <c r="Y8847" s="54"/>
      <c r="Z8847" s="66"/>
    </row>
    <row r="8848" spans="23:26" x14ac:dyDescent="0.25">
      <c r="W8848" s="65"/>
      <c r="X8848" s="104"/>
      <c r="Y8848" s="54"/>
      <c r="Z8848" s="66"/>
    </row>
    <row r="8849" spans="23:26" x14ac:dyDescent="0.25">
      <c r="W8849" s="65"/>
      <c r="X8849" s="104"/>
      <c r="Y8849" s="54"/>
      <c r="Z8849" s="66"/>
    </row>
    <row r="8850" spans="23:26" x14ac:dyDescent="0.25">
      <c r="W8850" s="65"/>
      <c r="X8850" s="104"/>
      <c r="Y8850" s="54"/>
      <c r="Z8850" s="66"/>
    </row>
    <row r="8851" spans="23:26" x14ac:dyDescent="0.25">
      <c r="W8851" s="65"/>
      <c r="X8851" s="104"/>
      <c r="Y8851" s="54"/>
      <c r="Z8851" s="66"/>
    </row>
    <row r="8852" spans="23:26" x14ac:dyDescent="0.25">
      <c r="W8852" s="65"/>
      <c r="X8852" s="104"/>
      <c r="Y8852" s="54"/>
      <c r="Z8852" s="66"/>
    </row>
    <row r="8853" spans="23:26" x14ac:dyDescent="0.25">
      <c r="W8853" s="65"/>
      <c r="X8853" s="104"/>
      <c r="Y8853" s="54"/>
      <c r="Z8853" s="66"/>
    </row>
    <row r="8854" spans="23:26" x14ac:dyDescent="0.25">
      <c r="W8854" s="65"/>
      <c r="X8854" s="104"/>
      <c r="Y8854" s="54"/>
      <c r="Z8854" s="66"/>
    </row>
    <row r="8855" spans="23:26" x14ac:dyDescent="0.25">
      <c r="W8855" s="65"/>
      <c r="X8855" s="104"/>
      <c r="Y8855" s="54"/>
      <c r="Z8855" s="66"/>
    </row>
    <row r="8856" spans="23:26" x14ac:dyDescent="0.25">
      <c r="W8856" s="65"/>
      <c r="X8856" s="104"/>
      <c r="Y8856" s="54"/>
      <c r="Z8856" s="66"/>
    </row>
    <row r="8857" spans="23:26" x14ac:dyDescent="0.25">
      <c r="W8857" s="65"/>
      <c r="X8857" s="104"/>
      <c r="Y8857" s="54"/>
      <c r="Z8857" s="66"/>
    </row>
    <row r="8858" spans="23:26" x14ac:dyDescent="0.25">
      <c r="W8858" s="65"/>
      <c r="X8858" s="104"/>
      <c r="Y8858" s="54"/>
      <c r="Z8858" s="66"/>
    </row>
    <row r="8859" spans="23:26" x14ac:dyDescent="0.25">
      <c r="W8859" s="65"/>
      <c r="X8859" s="104"/>
      <c r="Y8859" s="54"/>
      <c r="Z8859" s="66"/>
    </row>
    <row r="8860" spans="23:26" x14ac:dyDescent="0.25">
      <c r="W8860" s="65"/>
      <c r="X8860" s="104"/>
      <c r="Y8860" s="54"/>
      <c r="Z8860" s="66"/>
    </row>
    <row r="8861" spans="23:26" x14ac:dyDescent="0.25">
      <c r="W8861" s="65"/>
      <c r="X8861" s="104"/>
      <c r="Y8861" s="54"/>
      <c r="Z8861" s="66"/>
    </row>
    <row r="8862" spans="23:26" x14ac:dyDescent="0.25">
      <c r="W8862" s="65"/>
      <c r="X8862" s="104"/>
      <c r="Y8862" s="54"/>
      <c r="Z8862" s="66"/>
    </row>
    <row r="8863" spans="23:26" x14ac:dyDescent="0.25">
      <c r="W8863" s="65"/>
      <c r="X8863" s="104"/>
      <c r="Y8863" s="54"/>
      <c r="Z8863" s="66"/>
    </row>
    <row r="8864" spans="23:26" x14ac:dyDescent="0.25">
      <c r="W8864" s="65"/>
      <c r="X8864" s="104"/>
      <c r="Y8864" s="54"/>
      <c r="Z8864" s="66"/>
    </row>
    <row r="8865" spans="23:26" x14ac:dyDescent="0.25">
      <c r="W8865" s="65"/>
      <c r="X8865" s="104"/>
      <c r="Y8865" s="54"/>
      <c r="Z8865" s="66"/>
    </row>
    <row r="8866" spans="23:26" x14ac:dyDescent="0.25">
      <c r="W8866" s="65"/>
      <c r="X8866" s="104"/>
      <c r="Y8866" s="54"/>
      <c r="Z8866" s="66"/>
    </row>
    <row r="8867" spans="23:26" x14ac:dyDescent="0.25">
      <c r="W8867" s="65"/>
      <c r="X8867" s="104"/>
      <c r="Y8867" s="54"/>
      <c r="Z8867" s="66"/>
    </row>
    <row r="8868" spans="23:26" x14ac:dyDescent="0.25">
      <c r="W8868" s="65"/>
      <c r="X8868" s="104"/>
      <c r="Y8868" s="54"/>
      <c r="Z8868" s="66"/>
    </row>
    <row r="8869" spans="23:26" x14ac:dyDescent="0.25">
      <c r="W8869" s="65"/>
      <c r="X8869" s="104"/>
      <c r="Y8869" s="54"/>
      <c r="Z8869" s="66"/>
    </row>
    <row r="8870" spans="23:26" x14ac:dyDescent="0.25">
      <c r="W8870" s="65"/>
      <c r="X8870" s="104"/>
      <c r="Y8870" s="54"/>
      <c r="Z8870" s="66"/>
    </row>
    <row r="8871" spans="23:26" x14ac:dyDescent="0.25">
      <c r="W8871" s="65"/>
      <c r="X8871" s="104"/>
      <c r="Y8871" s="54"/>
      <c r="Z8871" s="66"/>
    </row>
    <row r="8872" spans="23:26" x14ac:dyDescent="0.25">
      <c r="W8872" s="65"/>
      <c r="X8872" s="104"/>
      <c r="Y8872" s="54"/>
      <c r="Z8872" s="66"/>
    </row>
    <row r="8873" spans="23:26" x14ac:dyDescent="0.25">
      <c r="W8873" s="65"/>
      <c r="X8873" s="104"/>
      <c r="Y8873" s="54"/>
      <c r="Z8873" s="66"/>
    </row>
    <row r="8874" spans="23:26" x14ac:dyDescent="0.25">
      <c r="W8874" s="65"/>
      <c r="X8874" s="104"/>
      <c r="Y8874" s="54"/>
      <c r="Z8874" s="66"/>
    </row>
    <row r="8875" spans="23:26" x14ac:dyDescent="0.25">
      <c r="W8875" s="65"/>
      <c r="X8875" s="104"/>
      <c r="Y8875" s="54"/>
      <c r="Z8875" s="66"/>
    </row>
    <row r="8876" spans="23:26" x14ac:dyDescent="0.25">
      <c r="W8876" s="65"/>
      <c r="X8876" s="104"/>
      <c r="Y8876" s="54"/>
      <c r="Z8876" s="66"/>
    </row>
    <row r="8877" spans="23:26" x14ac:dyDescent="0.25">
      <c r="W8877" s="65"/>
      <c r="X8877" s="104"/>
      <c r="Y8877" s="54"/>
      <c r="Z8877" s="66"/>
    </row>
    <row r="8878" spans="23:26" x14ac:dyDescent="0.25">
      <c r="W8878" s="65"/>
      <c r="X8878" s="104"/>
      <c r="Y8878" s="54"/>
      <c r="Z8878" s="66"/>
    </row>
    <row r="8879" spans="23:26" x14ac:dyDescent="0.25">
      <c r="W8879" s="65"/>
      <c r="X8879" s="104"/>
      <c r="Y8879" s="54"/>
      <c r="Z8879" s="66"/>
    </row>
    <row r="8880" spans="23:26" x14ac:dyDescent="0.25">
      <c r="W8880" s="65"/>
      <c r="X8880" s="104"/>
      <c r="Y8880" s="54"/>
      <c r="Z8880" s="66"/>
    </row>
    <row r="8881" spans="23:26" x14ac:dyDescent="0.25">
      <c r="W8881" s="65"/>
      <c r="X8881" s="104"/>
      <c r="Y8881" s="54"/>
      <c r="Z8881" s="66"/>
    </row>
    <row r="8882" spans="23:26" x14ac:dyDescent="0.25">
      <c r="W8882" s="65"/>
      <c r="X8882" s="104"/>
      <c r="Y8882" s="54"/>
      <c r="Z8882" s="66"/>
    </row>
    <row r="8883" spans="23:26" x14ac:dyDescent="0.25">
      <c r="W8883" s="65"/>
      <c r="X8883" s="104"/>
      <c r="Y8883" s="54"/>
      <c r="Z8883" s="66"/>
    </row>
    <row r="8884" spans="23:26" x14ac:dyDescent="0.25">
      <c r="W8884" s="65"/>
      <c r="X8884" s="104"/>
      <c r="Y8884" s="54"/>
      <c r="Z8884" s="66"/>
    </row>
    <row r="8885" spans="23:26" x14ac:dyDescent="0.25">
      <c r="W8885" s="65"/>
      <c r="X8885" s="104"/>
      <c r="Y8885" s="54"/>
      <c r="Z8885" s="66"/>
    </row>
    <row r="8886" spans="23:26" x14ac:dyDescent="0.25">
      <c r="W8886" s="65"/>
      <c r="X8886" s="104"/>
      <c r="Y8886" s="54"/>
      <c r="Z8886" s="66"/>
    </row>
    <row r="8887" spans="23:26" x14ac:dyDescent="0.25">
      <c r="W8887" s="65"/>
      <c r="X8887" s="104"/>
      <c r="Y8887" s="54"/>
      <c r="Z8887" s="66"/>
    </row>
    <row r="8888" spans="23:26" x14ac:dyDescent="0.25">
      <c r="W8888" s="65"/>
      <c r="X8888" s="104"/>
      <c r="Y8888" s="54"/>
      <c r="Z8888" s="66"/>
    </row>
    <row r="8889" spans="23:26" x14ac:dyDescent="0.25">
      <c r="W8889" s="65"/>
      <c r="X8889" s="104"/>
      <c r="Y8889" s="54"/>
      <c r="Z8889" s="66"/>
    </row>
    <row r="8890" spans="23:26" x14ac:dyDescent="0.25">
      <c r="W8890" s="65"/>
      <c r="X8890" s="104"/>
      <c r="Y8890" s="54"/>
      <c r="Z8890" s="66"/>
    </row>
    <row r="8891" spans="23:26" x14ac:dyDescent="0.25">
      <c r="W8891" s="65"/>
      <c r="X8891" s="104"/>
      <c r="Y8891" s="54"/>
      <c r="Z8891" s="66"/>
    </row>
    <row r="8892" spans="23:26" x14ac:dyDescent="0.25">
      <c r="W8892" s="65"/>
      <c r="X8892" s="104"/>
      <c r="Y8892" s="54"/>
      <c r="Z8892" s="66"/>
    </row>
    <row r="8893" spans="23:26" x14ac:dyDescent="0.25">
      <c r="W8893" s="65"/>
      <c r="X8893" s="104"/>
      <c r="Y8893" s="54"/>
      <c r="Z8893" s="66"/>
    </row>
    <row r="8894" spans="23:26" x14ac:dyDescent="0.25">
      <c r="W8894" s="65"/>
      <c r="X8894" s="104"/>
      <c r="Y8894" s="54"/>
      <c r="Z8894" s="66"/>
    </row>
    <row r="8895" spans="23:26" x14ac:dyDescent="0.25">
      <c r="W8895" s="65"/>
      <c r="X8895" s="104"/>
      <c r="Y8895" s="54"/>
      <c r="Z8895" s="66"/>
    </row>
    <row r="8896" spans="23:26" x14ac:dyDescent="0.25">
      <c r="W8896" s="65"/>
      <c r="X8896" s="104"/>
      <c r="Y8896" s="54"/>
      <c r="Z8896" s="66"/>
    </row>
    <row r="8897" spans="23:26" x14ac:dyDescent="0.25">
      <c r="W8897" s="65"/>
      <c r="X8897" s="104"/>
      <c r="Y8897" s="54"/>
      <c r="Z8897" s="66"/>
    </row>
    <row r="8898" spans="23:26" x14ac:dyDescent="0.25">
      <c r="W8898" s="65"/>
      <c r="X8898" s="104"/>
      <c r="Y8898" s="54"/>
      <c r="Z8898" s="66"/>
    </row>
    <row r="8899" spans="23:26" x14ac:dyDescent="0.25">
      <c r="W8899" s="65"/>
      <c r="X8899" s="104"/>
      <c r="Y8899" s="54"/>
      <c r="Z8899" s="66"/>
    </row>
    <row r="8900" spans="23:26" x14ac:dyDescent="0.25">
      <c r="W8900" s="65"/>
      <c r="X8900" s="104"/>
      <c r="Y8900" s="54"/>
      <c r="Z8900" s="66"/>
    </row>
    <row r="8901" spans="23:26" x14ac:dyDescent="0.25">
      <c r="W8901" s="65"/>
      <c r="X8901" s="104"/>
      <c r="Y8901" s="54"/>
      <c r="Z8901" s="66"/>
    </row>
    <row r="8902" spans="23:26" x14ac:dyDescent="0.25">
      <c r="W8902" s="65"/>
      <c r="X8902" s="104"/>
      <c r="Y8902" s="54"/>
      <c r="Z8902" s="66"/>
    </row>
    <row r="8903" spans="23:26" x14ac:dyDescent="0.25">
      <c r="W8903" s="65"/>
      <c r="X8903" s="104"/>
      <c r="Y8903" s="54"/>
      <c r="Z8903" s="66"/>
    </row>
    <row r="8904" spans="23:26" x14ac:dyDescent="0.25">
      <c r="W8904" s="65"/>
      <c r="X8904" s="104"/>
      <c r="Y8904" s="54"/>
      <c r="Z8904" s="66"/>
    </row>
    <row r="8905" spans="23:26" x14ac:dyDescent="0.25">
      <c r="W8905" s="65"/>
      <c r="X8905" s="104"/>
      <c r="Y8905" s="54"/>
      <c r="Z8905" s="66"/>
    </row>
    <row r="8906" spans="23:26" x14ac:dyDescent="0.25">
      <c r="W8906" s="65"/>
      <c r="X8906" s="104"/>
      <c r="Y8906" s="54"/>
      <c r="Z8906" s="66"/>
    </row>
    <row r="8907" spans="23:26" x14ac:dyDescent="0.25">
      <c r="W8907" s="65"/>
      <c r="X8907" s="104"/>
      <c r="Y8907" s="54"/>
      <c r="Z8907" s="66"/>
    </row>
    <row r="8908" spans="23:26" x14ac:dyDescent="0.25">
      <c r="W8908" s="65"/>
      <c r="X8908" s="104"/>
      <c r="Y8908" s="54"/>
      <c r="Z8908" s="66"/>
    </row>
    <row r="8909" spans="23:26" x14ac:dyDescent="0.25">
      <c r="W8909" s="65"/>
      <c r="X8909" s="104"/>
      <c r="Y8909" s="54"/>
      <c r="Z8909" s="66"/>
    </row>
    <row r="8910" spans="23:26" x14ac:dyDescent="0.25">
      <c r="W8910" s="65"/>
      <c r="X8910" s="104"/>
      <c r="Y8910" s="54"/>
      <c r="Z8910" s="66"/>
    </row>
    <row r="8911" spans="23:26" x14ac:dyDescent="0.25">
      <c r="W8911" s="65"/>
      <c r="X8911" s="104"/>
      <c r="Y8911" s="54"/>
      <c r="Z8911" s="66"/>
    </row>
    <row r="8912" spans="23:26" x14ac:dyDescent="0.25">
      <c r="W8912" s="65"/>
      <c r="X8912" s="104"/>
      <c r="Y8912" s="54"/>
      <c r="Z8912" s="66"/>
    </row>
    <row r="8913" spans="23:26" x14ac:dyDescent="0.25">
      <c r="W8913" s="65"/>
      <c r="X8913" s="104"/>
      <c r="Y8913" s="54"/>
      <c r="Z8913" s="66"/>
    </row>
    <row r="8914" spans="23:26" x14ac:dyDescent="0.25">
      <c r="W8914" s="65"/>
      <c r="X8914" s="104"/>
      <c r="Y8914" s="54"/>
      <c r="Z8914" s="66"/>
    </row>
    <row r="8915" spans="23:26" x14ac:dyDescent="0.25">
      <c r="W8915" s="65"/>
      <c r="X8915" s="104"/>
      <c r="Y8915" s="54"/>
      <c r="Z8915" s="66"/>
    </row>
    <row r="8916" spans="23:26" x14ac:dyDescent="0.25">
      <c r="W8916" s="65"/>
      <c r="X8916" s="104"/>
      <c r="Y8916" s="54"/>
      <c r="Z8916" s="66"/>
    </row>
    <row r="8917" spans="23:26" x14ac:dyDescent="0.25">
      <c r="W8917" s="65"/>
      <c r="X8917" s="104"/>
      <c r="Y8917" s="54"/>
      <c r="Z8917" s="66"/>
    </row>
    <row r="8918" spans="23:26" x14ac:dyDescent="0.25">
      <c r="W8918" s="65"/>
      <c r="X8918" s="104"/>
      <c r="Y8918" s="54"/>
      <c r="Z8918" s="66"/>
    </row>
    <row r="8919" spans="23:26" x14ac:dyDescent="0.25">
      <c r="W8919" s="65"/>
      <c r="X8919" s="104"/>
      <c r="Y8919" s="54"/>
      <c r="Z8919" s="66"/>
    </row>
    <row r="8920" spans="23:26" x14ac:dyDescent="0.25">
      <c r="W8920" s="65"/>
      <c r="X8920" s="104"/>
      <c r="Y8920" s="54"/>
      <c r="Z8920" s="66"/>
    </row>
    <row r="8921" spans="23:26" x14ac:dyDescent="0.25">
      <c r="W8921" s="65"/>
      <c r="X8921" s="104"/>
      <c r="Y8921" s="54"/>
      <c r="Z8921" s="66"/>
    </row>
    <row r="8922" spans="23:26" x14ac:dyDescent="0.25">
      <c r="W8922" s="65"/>
      <c r="X8922" s="104"/>
      <c r="Y8922" s="54"/>
      <c r="Z8922" s="66"/>
    </row>
    <row r="8923" spans="23:26" x14ac:dyDescent="0.25">
      <c r="W8923" s="65"/>
      <c r="X8923" s="104"/>
      <c r="Y8923" s="54"/>
      <c r="Z8923" s="66"/>
    </row>
    <row r="8924" spans="23:26" x14ac:dyDescent="0.25">
      <c r="W8924" s="65"/>
      <c r="X8924" s="104"/>
      <c r="Y8924" s="54"/>
      <c r="Z8924" s="66"/>
    </row>
    <row r="8925" spans="23:26" x14ac:dyDescent="0.25">
      <c r="W8925" s="65"/>
      <c r="X8925" s="104"/>
      <c r="Y8925" s="54"/>
      <c r="Z8925" s="66"/>
    </row>
    <row r="8926" spans="23:26" x14ac:dyDescent="0.25">
      <c r="W8926" s="65"/>
      <c r="X8926" s="104"/>
      <c r="Y8926" s="54"/>
      <c r="Z8926" s="66"/>
    </row>
    <row r="8927" spans="23:26" x14ac:dyDescent="0.25">
      <c r="W8927" s="65"/>
      <c r="X8927" s="104"/>
      <c r="Y8927" s="54"/>
      <c r="Z8927" s="66"/>
    </row>
    <row r="8928" spans="23:26" x14ac:dyDescent="0.25">
      <c r="W8928" s="65"/>
      <c r="X8928" s="104"/>
      <c r="Y8928" s="54"/>
      <c r="Z8928" s="66"/>
    </row>
    <row r="8929" spans="23:26" x14ac:dyDescent="0.25">
      <c r="W8929" s="65"/>
      <c r="X8929" s="104"/>
      <c r="Y8929" s="54"/>
      <c r="Z8929" s="66"/>
    </row>
    <row r="8930" spans="23:26" x14ac:dyDescent="0.25">
      <c r="W8930" s="65"/>
      <c r="X8930" s="104"/>
      <c r="Y8930" s="54"/>
      <c r="Z8930" s="66"/>
    </row>
    <row r="8931" spans="23:26" x14ac:dyDescent="0.25">
      <c r="W8931" s="65"/>
      <c r="X8931" s="104"/>
      <c r="Y8931" s="54"/>
      <c r="Z8931" s="66"/>
    </row>
    <row r="8932" spans="23:26" x14ac:dyDescent="0.25">
      <c r="W8932" s="65"/>
      <c r="X8932" s="104"/>
      <c r="Y8932" s="54"/>
      <c r="Z8932" s="66"/>
    </row>
    <row r="8933" spans="23:26" x14ac:dyDescent="0.25">
      <c r="W8933" s="65"/>
      <c r="X8933" s="104"/>
      <c r="Y8933" s="54"/>
      <c r="Z8933" s="66"/>
    </row>
    <row r="8934" spans="23:26" x14ac:dyDescent="0.25">
      <c r="W8934" s="65"/>
      <c r="X8934" s="104"/>
      <c r="Y8934" s="54"/>
      <c r="Z8934" s="66"/>
    </row>
    <row r="8935" spans="23:26" x14ac:dyDescent="0.25">
      <c r="W8935" s="65"/>
      <c r="X8935" s="104"/>
      <c r="Y8935" s="54"/>
      <c r="Z8935" s="66"/>
    </row>
    <row r="8936" spans="23:26" x14ac:dyDescent="0.25">
      <c r="W8936" s="65"/>
      <c r="X8936" s="104"/>
      <c r="Y8936" s="54"/>
      <c r="Z8936" s="66"/>
    </row>
    <row r="8937" spans="23:26" x14ac:dyDescent="0.25">
      <c r="W8937" s="65"/>
      <c r="X8937" s="104"/>
      <c r="Y8937" s="54"/>
      <c r="Z8937" s="66"/>
    </row>
    <row r="8938" spans="23:26" x14ac:dyDescent="0.25">
      <c r="W8938" s="65"/>
      <c r="X8938" s="104"/>
      <c r="Y8938" s="54"/>
      <c r="Z8938" s="66"/>
    </row>
    <row r="8939" spans="23:26" x14ac:dyDescent="0.25">
      <c r="W8939" s="65"/>
      <c r="X8939" s="104"/>
      <c r="Y8939" s="54"/>
      <c r="Z8939" s="66"/>
    </row>
    <row r="8940" spans="23:26" x14ac:dyDescent="0.25">
      <c r="W8940" s="65"/>
      <c r="X8940" s="104"/>
      <c r="Y8940" s="54"/>
      <c r="Z8940" s="66"/>
    </row>
    <row r="8941" spans="23:26" x14ac:dyDescent="0.25">
      <c r="W8941" s="65"/>
      <c r="X8941" s="104"/>
      <c r="Y8941" s="54"/>
      <c r="Z8941" s="66"/>
    </row>
    <row r="8942" spans="23:26" x14ac:dyDescent="0.25">
      <c r="W8942" s="65"/>
      <c r="X8942" s="104"/>
      <c r="Y8942" s="54"/>
      <c r="Z8942" s="66"/>
    </row>
    <row r="8943" spans="23:26" x14ac:dyDescent="0.25">
      <c r="W8943" s="65"/>
      <c r="X8943" s="104"/>
      <c r="Y8943" s="54"/>
      <c r="Z8943" s="66"/>
    </row>
    <row r="8944" spans="23:26" x14ac:dyDescent="0.25">
      <c r="W8944" s="65"/>
      <c r="X8944" s="104"/>
      <c r="Y8944" s="54"/>
      <c r="Z8944" s="66"/>
    </row>
    <row r="8945" spans="23:26" x14ac:dyDescent="0.25">
      <c r="W8945" s="65"/>
      <c r="X8945" s="104"/>
      <c r="Y8945" s="54"/>
      <c r="Z8945" s="66"/>
    </row>
    <row r="8946" spans="23:26" x14ac:dyDescent="0.25">
      <c r="W8946" s="65"/>
      <c r="X8946" s="104"/>
      <c r="Y8946" s="54"/>
      <c r="Z8946" s="66"/>
    </row>
    <row r="8947" spans="23:26" x14ac:dyDescent="0.25">
      <c r="W8947" s="65"/>
      <c r="X8947" s="104"/>
      <c r="Y8947" s="54"/>
      <c r="Z8947" s="66"/>
    </row>
    <row r="8948" spans="23:26" x14ac:dyDescent="0.25">
      <c r="W8948" s="65"/>
      <c r="X8948" s="104"/>
      <c r="Y8948" s="54"/>
      <c r="Z8948" s="66"/>
    </row>
    <row r="8949" spans="23:26" x14ac:dyDescent="0.25">
      <c r="W8949" s="65"/>
      <c r="X8949" s="104"/>
      <c r="Y8949" s="54"/>
      <c r="Z8949" s="66"/>
    </row>
    <row r="8950" spans="23:26" x14ac:dyDescent="0.25">
      <c r="W8950" s="65"/>
      <c r="X8950" s="104"/>
      <c r="Y8950" s="54"/>
      <c r="Z8950" s="66"/>
    </row>
    <row r="8951" spans="23:26" x14ac:dyDescent="0.25">
      <c r="W8951" s="65"/>
      <c r="X8951" s="104"/>
      <c r="Y8951" s="54"/>
      <c r="Z8951" s="66"/>
    </row>
    <row r="8952" spans="23:26" x14ac:dyDescent="0.25">
      <c r="W8952" s="65"/>
      <c r="X8952" s="104"/>
      <c r="Y8952" s="54"/>
      <c r="Z8952" s="66"/>
    </row>
    <row r="8953" spans="23:26" x14ac:dyDescent="0.25">
      <c r="W8953" s="65"/>
      <c r="X8953" s="104"/>
      <c r="Y8953" s="54"/>
      <c r="Z8953" s="66"/>
    </row>
    <row r="8954" spans="23:26" x14ac:dyDescent="0.25">
      <c r="W8954" s="65"/>
      <c r="X8954" s="104"/>
      <c r="Y8954" s="54"/>
      <c r="Z8954" s="66"/>
    </row>
    <row r="8955" spans="23:26" x14ac:dyDescent="0.25">
      <c r="W8955" s="65"/>
      <c r="X8955" s="104"/>
      <c r="Y8955" s="54"/>
      <c r="Z8955" s="66"/>
    </row>
    <row r="8956" spans="23:26" x14ac:dyDescent="0.25">
      <c r="W8956" s="65"/>
      <c r="X8956" s="104"/>
      <c r="Y8956" s="54"/>
      <c r="Z8956" s="66"/>
    </row>
    <row r="8957" spans="23:26" x14ac:dyDescent="0.25">
      <c r="W8957" s="65"/>
      <c r="X8957" s="104"/>
      <c r="Y8957" s="54"/>
      <c r="Z8957" s="66"/>
    </row>
    <row r="8958" spans="23:26" x14ac:dyDescent="0.25">
      <c r="W8958" s="65"/>
      <c r="X8958" s="104"/>
      <c r="Y8958" s="54"/>
      <c r="Z8958" s="66"/>
    </row>
    <row r="8959" spans="23:26" x14ac:dyDescent="0.25">
      <c r="W8959" s="65"/>
      <c r="X8959" s="104"/>
      <c r="Y8959" s="54"/>
      <c r="Z8959" s="66"/>
    </row>
    <row r="8960" spans="23:26" x14ac:dyDescent="0.25">
      <c r="W8960" s="65"/>
      <c r="X8960" s="104"/>
      <c r="Y8960" s="54"/>
      <c r="Z8960" s="66"/>
    </row>
    <row r="8961" spans="23:26" x14ac:dyDescent="0.25">
      <c r="W8961" s="65"/>
      <c r="X8961" s="104"/>
      <c r="Y8961" s="54"/>
      <c r="Z8961" s="66"/>
    </row>
    <row r="8962" spans="23:26" x14ac:dyDescent="0.25">
      <c r="W8962" s="65"/>
      <c r="X8962" s="104"/>
      <c r="Y8962" s="54"/>
      <c r="Z8962" s="66"/>
    </row>
    <row r="8963" spans="23:26" x14ac:dyDescent="0.25">
      <c r="W8963" s="65"/>
      <c r="X8963" s="104"/>
      <c r="Y8963" s="54"/>
      <c r="Z8963" s="66"/>
    </row>
    <row r="8964" spans="23:26" x14ac:dyDescent="0.25">
      <c r="W8964" s="65"/>
      <c r="X8964" s="104"/>
      <c r="Y8964" s="54"/>
      <c r="Z8964" s="66"/>
    </row>
    <row r="8965" spans="23:26" x14ac:dyDescent="0.25">
      <c r="W8965" s="65"/>
      <c r="X8965" s="104"/>
      <c r="Y8965" s="54"/>
      <c r="Z8965" s="66"/>
    </row>
    <row r="8966" spans="23:26" x14ac:dyDescent="0.25">
      <c r="W8966" s="65"/>
      <c r="X8966" s="104"/>
      <c r="Y8966" s="54"/>
      <c r="Z8966" s="66"/>
    </row>
    <row r="8967" spans="23:26" x14ac:dyDescent="0.25">
      <c r="W8967" s="65"/>
      <c r="X8967" s="104"/>
      <c r="Y8967" s="54"/>
      <c r="Z8967" s="66"/>
    </row>
    <row r="8968" spans="23:26" x14ac:dyDescent="0.25">
      <c r="W8968" s="65"/>
      <c r="X8968" s="104"/>
      <c r="Y8968" s="54"/>
      <c r="Z8968" s="66"/>
    </row>
    <row r="8969" spans="23:26" x14ac:dyDescent="0.25">
      <c r="W8969" s="65"/>
      <c r="X8969" s="104"/>
      <c r="Y8969" s="54"/>
      <c r="Z8969" s="66"/>
    </row>
    <row r="8970" spans="23:26" x14ac:dyDescent="0.25">
      <c r="W8970" s="65"/>
      <c r="X8970" s="104"/>
      <c r="Y8970" s="54"/>
      <c r="Z8970" s="66"/>
    </row>
    <row r="8971" spans="23:26" x14ac:dyDescent="0.25">
      <c r="W8971" s="65"/>
      <c r="X8971" s="104"/>
      <c r="Y8971" s="54"/>
      <c r="Z8971" s="66"/>
    </row>
    <row r="8972" spans="23:26" x14ac:dyDescent="0.25">
      <c r="W8972" s="65"/>
      <c r="X8972" s="104"/>
      <c r="Y8972" s="54"/>
      <c r="Z8972" s="66"/>
    </row>
    <row r="8973" spans="23:26" x14ac:dyDescent="0.25">
      <c r="W8973" s="65"/>
      <c r="X8973" s="104"/>
      <c r="Y8973" s="54"/>
      <c r="Z8973" s="66"/>
    </row>
    <row r="8974" spans="23:26" x14ac:dyDescent="0.25">
      <c r="W8974" s="65"/>
      <c r="X8974" s="104"/>
      <c r="Y8974" s="54"/>
      <c r="Z8974" s="66"/>
    </row>
    <row r="8975" spans="23:26" x14ac:dyDescent="0.25">
      <c r="W8975" s="65"/>
      <c r="X8975" s="104"/>
      <c r="Y8975" s="54"/>
      <c r="Z8975" s="66"/>
    </row>
    <row r="8976" spans="23:26" x14ac:dyDescent="0.25">
      <c r="W8976" s="65"/>
      <c r="X8976" s="104"/>
      <c r="Y8976" s="54"/>
      <c r="Z8976" s="66"/>
    </row>
    <row r="8977" spans="23:26" x14ac:dyDescent="0.25">
      <c r="W8977" s="65"/>
      <c r="X8977" s="104"/>
      <c r="Y8977" s="54"/>
      <c r="Z8977" s="66"/>
    </row>
    <row r="8978" spans="23:26" x14ac:dyDescent="0.25">
      <c r="W8978" s="65"/>
      <c r="X8978" s="104"/>
      <c r="Y8978" s="54"/>
      <c r="Z8978" s="66"/>
    </row>
    <row r="8979" spans="23:26" x14ac:dyDescent="0.25">
      <c r="W8979" s="65"/>
      <c r="X8979" s="104"/>
      <c r="Y8979" s="54"/>
      <c r="Z8979" s="66"/>
    </row>
    <row r="8980" spans="23:26" x14ac:dyDescent="0.25">
      <c r="W8980" s="65"/>
      <c r="X8980" s="104"/>
      <c r="Y8980" s="54"/>
      <c r="Z8980" s="66"/>
    </row>
    <row r="8981" spans="23:26" x14ac:dyDescent="0.25">
      <c r="W8981" s="65"/>
      <c r="X8981" s="104"/>
      <c r="Y8981" s="54"/>
      <c r="Z8981" s="66"/>
    </row>
    <row r="8982" spans="23:26" x14ac:dyDescent="0.25">
      <c r="W8982" s="65"/>
      <c r="X8982" s="104"/>
      <c r="Y8982" s="54"/>
      <c r="Z8982" s="66"/>
    </row>
    <row r="8983" spans="23:26" x14ac:dyDescent="0.25">
      <c r="W8983" s="65"/>
      <c r="X8983" s="104"/>
      <c r="Y8983" s="54"/>
      <c r="Z8983" s="66"/>
    </row>
    <row r="8984" spans="23:26" x14ac:dyDescent="0.25">
      <c r="W8984" s="65"/>
      <c r="X8984" s="104"/>
      <c r="Y8984" s="54"/>
      <c r="Z8984" s="66"/>
    </row>
    <row r="8985" spans="23:26" x14ac:dyDescent="0.25">
      <c r="W8985" s="65"/>
      <c r="X8985" s="104"/>
      <c r="Y8985" s="54"/>
      <c r="Z8985" s="66"/>
    </row>
    <row r="8986" spans="23:26" x14ac:dyDescent="0.25">
      <c r="W8986" s="65"/>
      <c r="X8986" s="104"/>
      <c r="Y8986" s="54"/>
      <c r="Z8986" s="66"/>
    </row>
    <row r="8987" spans="23:26" x14ac:dyDescent="0.25">
      <c r="W8987" s="65"/>
      <c r="X8987" s="104"/>
      <c r="Y8987" s="54"/>
      <c r="Z8987" s="66"/>
    </row>
    <row r="8988" spans="23:26" x14ac:dyDescent="0.25">
      <c r="W8988" s="65"/>
      <c r="X8988" s="104"/>
      <c r="Y8988" s="54"/>
      <c r="Z8988" s="66"/>
    </row>
    <row r="8989" spans="23:26" x14ac:dyDescent="0.25">
      <c r="W8989" s="65"/>
      <c r="X8989" s="104"/>
      <c r="Y8989" s="54"/>
      <c r="Z8989" s="66"/>
    </row>
    <row r="8990" spans="23:26" x14ac:dyDescent="0.25">
      <c r="W8990" s="65"/>
      <c r="X8990" s="104"/>
      <c r="Y8990" s="54"/>
      <c r="Z8990" s="66"/>
    </row>
    <row r="8991" spans="23:26" x14ac:dyDescent="0.25">
      <c r="W8991" s="65"/>
      <c r="X8991" s="104"/>
      <c r="Y8991" s="54"/>
      <c r="Z8991" s="66"/>
    </row>
    <row r="8992" spans="23:26" x14ac:dyDescent="0.25">
      <c r="W8992" s="65"/>
      <c r="X8992" s="104"/>
      <c r="Y8992" s="54"/>
      <c r="Z8992" s="66"/>
    </row>
    <row r="8993" spans="23:26" x14ac:dyDescent="0.25">
      <c r="W8993" s="65"/>
      <c r="X8993" s="104"/>
      <c r="Y8993" s="54"/>
      <c r="Z8993" s="66"/>
    </row>
    <row r="8994" spans="23:26" x14ac:dyDescent="0.25">
      <c r="W8994" s="65"/>
      <c r="X8994" s="104"/>
      <c r="Y8994" s="54"/>
      <c r="Z8994" s="66"/>
    </row>
    <row r="8995" spans="23:26" x14ac:dyDescent="0.25">
      <c r="W8995" s="65"/>
      <c r="X8995" s="104"/>
      <c r="Y8995" s="54"/>
      <c r="Z8995" s="66"/>
    </row>
    <row r="8996" spans="23:26" x14ac:dyDescent="0.25">
      <c r="W8996" s="65"/>
      <c r="X8996" s="104"/>
      <c r="Y8996" s="54"/>
      <c r="Z8996" s="66"/>
    </row>
    <row r="8997" spans="23:26" x14ac:dyDescent="0.25">
      <c r="W8997" s="65"/>
      <c r="X8997" s="104"/>
      <c r="Y8997" s="54"/>
      <c r="Z8997" s="66"/>
    </row>
    <row r="8998" spans="23:26" x14ac:dyDescent="0.25">
      <c r="W8998" s="65"/>
      <c r="X8998" s="104"/>
      <c r="Y8998" s="54"/>
      <c r="Z8998" s="66"/>
    </row>
    <row r="8999" spans="23:26" x14ac:dyDescent="0.25">
      <c r="W8999" s="65"/>
      <c r="X8999" s="104"/>
      <c r="Y8999" s="54"/>
      <c r="Z8999" s="66"/>
    </row>
    <row r="9000" spans="23:26" x14ac:dyDescent="0.25">
      <c r="W9000" s="65"/>
      <c r="X9000" s="104"/>
      <c r="Y9000" s="54"/>
      <c r="Z9000" s="66"/>
    </row>
    <row r="9001" spans="23:26" x14ac:dyDescent="0.25">
      <c r="W9001" s="65"/>
      <c r="X9001" s="104"/>
      <c r="Y9001" s="54"/>
      <c r="Z9001" s="66"/>
    </row>
    <row r="9002" spans="23:26" x14ac:dyDescent="0.25">
      <c r="W9002" s="65"/>
      <c r="X9002" s="104"/>
      <c r="Y9002" s="54"/>
      <c r="Z9002" s="66"/>
    </row>
    <row r="9003" spans="23:26" x14ac:dyDescent="0.25">
      <c r="W9003" s="65"/>
      <c r="X9003" s="104"/>
      <c r="Y9003" s="54"/>
      <c r="Z9003" s="66"/>
    </row>
    <row r="9004" spans="23:26" x14ac:dyDescent="0.25">
      <c r="W9004" s="65"/>
      <c r="X9004" s="104"/>
      <c r="Y9004" s="54"/>
      <c r="Z9004" s="66"/>
    </row>
    <row r="9005" spans="23:26" x14ac:dyDescent="0.25">
      <c r="W9005" s="65"/>
      <c r="X9005" s="104"/>
      <c r="Y9005" s="54"/>
      <c r="Z9005" s="66"/>
    </row>
    <row r="9006" spans="23:26" x14ac:dyDescent="0.25">
      <c r="W9006" s="65"/>
      <c r="X9006" s="104"/>
      <c r="Y9006" s="54"/>
      <c r="Z9006" s="66"/>
    </row>
    <row r="9007" spans="23:26" x14ac:dyDescent="0.25">
      <c r="W9007" s="65"/>
      <c r="X9007" s="104"/>
      <c r="Y9007" s="54"/>
      <c r="Z9007" s="66"/>
    </row>
    <row r="9008" spans="23:26" x14ac:dyDescent="0.25">
      <c r="W9008" s="65"/>
      <c r="X9008" s="104"/>
      <c r="Y9008" s="54"/>
      <c r="Z9008" s="66"/>
    </row>
    <row r="9009" spans="23:26" x14ac:dyDescent="0.25">
      <c r="W9009" s="65"/>
      <c r="X9009" s="104"/>
      <c r="Y9009" s="54"/>
      <c r="Z9009" s="66"/>
    </row>
    <row r="9010" spans="23:26" x14ac:dyDescent="0.25">
      <c r="W9010" s="65"/>
      <c r="X9010" s="104"/>
      <c r="Y9010" s="54"/>
      <c r="Z9010" s="66"/>
    </row>
    <row r="9011" spans="23:26" x14ac:dyDescent="0.25">
      <c r="W9011" s="65"/>
      <c r="X9011" s="104"/>
      <c r="Y9011" s="54"/>
      <c r="Z9011" s="66"/>
    </row>
    <row r="9012" spans="23:26" x14ac:dyDescent="0.25">
      <c r="W9012" s="65"/>
      <c r="X9012" s="104"/>
      <c r="Y9012" s="54"/>
      <c r="Z9012" s="66"/>
    </row>
    <row r="9013" spans="23:26" x14ac:dyDescent="0.25">
      <c r="W9013" s="65"/>
      <c r="X9013" s="104"/>
      <c r="Y9013" s="54"/>
      <c r="Z9013" s="66"/>
    </row>
    <row r="9014" spans="23:26" x14ac:dyDescent="0.25">
      <c r="W9014" s="65"/>
      <c r="X9014" s="104"/>
      <c r="Y9014" s="54"/>
      <c r="Z9014" s="66"/>
    </row>
    <row r="9015" spans="23:26" x14ac:dyDescent="0.25">
      <c r="W9015" s="65"/>
      <c r="X9015" s="104"/>
      <c r="Y9015" s="54"/>
      <c r="Z9015" s="66"/>
    </row>
    <row r="9016" spans="23:26" x14ac:dyDescent="0.25">
      <c r="W9016" s="65"/>
      <c r="X9016" s="104"/>
      <c r="Y9016" s="54"/>
      <c r="Z9016" s="66"/>
    </row>
    <row r="9017" spans="23:26" x14ac:dyDescent="0.25">
      <c r="W9017" s="65"/>
      <c r="X9017" s="104"/>
      <c r="Y9017" s="54"/>
      <c r="Z9017" s="66"/>
    </row>
    <row r="9018" spans="23:26" x14ac:dyDescent="0.25">
      <c r="W9018" s="65"/>
      <c r="X9018" s="104"/>
      <c r="Y9018" s="54"/>
      <c r="Z9018" s="66"/>
    </row>
    <row r="9019" spans="23:26" x14ac:dyDescent="0.25">
      <c r="W9019" s="65"/>
      <c r="X9019" s="104"/>
      <c r="Y9019" s="54"/>
      <c r="Z9019" s="66"/>
    </row>
    <row r="9020" spans="23:26" x14ac:dyDescent="0.25">
      <c r="W9020" s="65"/>
      <c r="X9020" s="104"/>
      <c r="Y9020" s="54"/>
      <c r="Z9020" s="66"/>
    </row>
    <row r="9021" spans="23:26" x14ac:dyDescent="0.25">
      <c r="W9021" s="65"/>
      <c r="X9021" s="104"/>
      <c r="Y9021" s="54"/>
      <c r="Z9021" s="66"/>
    </row>
    <row r="9022" spans="23:26" x14ac:dyDescent="0.25">
      <c r="W9022" s="65"/>
      <c r="X9022" s="104"/>
      <c r="Y9022" s="54"/>
      <c r="Z9022" s="66"/>
    </row>
    <row r="9023" spans="23:26" x14ac:dyDescent="0.25">
      <c r="W9023" s="65"/>
      <c r="X9023" s="104"/>
      <c r="Y9023" s="54"/>
      <c r="Z9023" s="66"/>
    </row>
    <row r="9024" spans="23:26" x14ac:dyDescent="0.25">
      <c r="W9024" s="65"/>
      <c r="X9024" s="104"/>
      <c r="Y9024" s="54"/>
      <c r="Z9024" s="66"/>
    </row>
    <row r="9025" spans="23:26" x14ac:dyDescent="0.25">
      <c r="W9025" s="65"/>
      <c r="X9025" s="104"/>
      <c r="Y9025" s="54"/>
      <c r="Z9025" s="66"/>
    </row>
    <row r="9026" spans="23:26" x14ac:dyDescent="0.25">
      <c r="W9026" s="65"/>
      <c r="X9026" s="104"/>
      <c r="Y9026" s="54"/>
      <c r="Z9026" s="66"/>
    </row>
    <row r="9027" spans="23:26" x14ac:dyDescent="0.25">
      <c r="W9027" s="65"/>
      <c r="X9027" s="104"/>
      <c r="Y9027" s="54"/>
      <c r="Z9027" s="66"/>
    </row>
    <row r="9028" spans="23:26" x14ac:dyDescent="0.25">
      <c r="W9028" s="65"/>
      <c r="X9028" s="104"/>
      <c r="Y9028" s="54"/>
      <c r="Z9028" s="66"/>
    </row>
    <row r="9029" spans="23:26" x14ac:dyDescent="0.25">
      <c r="W9029" s="65"/>
      <c r="X9029" s="104"/>
      <c r="Y9029" s="54"/>
      <c r="Z9029" s="66"/>
    </row>
    <row r="9030" spans="23:26" x14ac:dyDescent="0.25">
      <c r="W9030" s="65"/>
      <c r="X9030" s="104"/>
      <c r="Y9030" s="54"/>
      <c r="Z9030" s="66"/>
    </row>
    <row r="9031" spans="23:26" x14ac:dyDescent="0.25">
      <c r="W9031" s="65"/>
      <c r="X9031" s="104"/>
      <c r="Y9031" s="54"/>
      <c r="Z9031" s="66"/>
    </row>
    <row r="9032" spans="23:26" x14ac:dyDescent="0.25">
      <c r="W9032" s="65"/>
      <c r="X9032" s="104"/>
      <c r="Y9032" s="54"/>
      <c r="Z9032" s="66"/>
    </row>
    <row r="9033" spans="23:26" x14ac:dyDescent="0.25">
      <c r="W9033" s="65"/>
      <c r="X9033" s="104"/>
      <c r="Y9033" s="54"/>
      <c r="Z9033" s="66"/>
    </row>
    <row r="9034" spans="23:26" x14ac:dyDescent="0.25">
      <c r="W9034" s="65"/>
      <c r="X9034" s="104"/>
      <c r="Y9034" s="54"/>
      <c r="Z9034" s="66"/>
    </row>
    <row r="9035" spans="23:26" x14ac:dyDescent="0.25">
      <c r="W9035" s="65"/>
      <c r="X9035" s="104"/>
      <c r="Y9035" s="54"/>
      <c r="Z9035" s="66"/>
    </row>
    <row r="9036" spans="23:26" x14ac:dyDescent="0.25">
      <c r="W9036" s="65"/>
      <c r="X9036" s="104"/>
      <c r="Y9036" s="54"/>
      <c r="Z9036" s="66"/>
    </row>
    <row r="9037" spans="23:26" x14ac:dyDescent="0.25">
      <c r="W9037" s="65"/>
      <c r="X9037" s="104"/>
      <c r="Y9037" s="54"/>
      <c r="Z9037" s="66"/>
    </row>
    <row r="9038" spans="23:26" x14ac:dyDescent="0.25">
      <c r="W9038" s="65"/>
      <c r="X9038" s="104"/>
      <c r="Y9038" s="54"/>
      <c r="Z9038" s="66"/>
    </row>
    <row r="9039" spans="23:26" x14ac:dyDescent="0.25">
      <c r="W9039" s="65"/>
      <c r="X9039" s="104"/>
      <c r="Y9039" s="54"/>
      <c r="Z9039" s="66"/>
    </row>
    <row r="9040" spans="23:26" x14ac:dyDescent="0.25">
      <c r="W9040" s="65"/>
      <c r="X9040" s="104"/>
      <c r="Y9040" s="54"/>
      <c r="Z9040" s="66"/>
    </row>
    <row r="9041" spans="23:26" x14ac:dyDescent="0.25">
      <c r="W9041" s="65"/>
      <c r="X9041" s="104"/>
      <c r="Y9041" s="54"/>
      <c r="Z9041" s="66"/>
    </row>
    <row r="9042" spans="23:26" x14ac:dyDescent="0.25">
      <c r="W9042" s="65"/>
      <c r="X9042" s="104"/>
      <c r="Y9042" s="54"/>
      <c r="Z9042" s="66"/>
    </row>
    <row r="9043" spans="23:26" x14ac:dyDescent="0.25">
      <c r="W9043" s="65"/>
      <c r="X9043" s="104"/>
      <c r="Y9043" s="54"/>
      <c r="Z9043" s="66"/>
    </row>
    <row r="9044" spans="23:26" x14ac:dyDescent="0.25">
      <c r="W9044" s="65"/>
      <c r="X9044" s="104"/>
      <c r="Y9044" s="54"/>
      <c r="Z9044" s="66"/>
    </row>
    <row r="9045" spans="23:26" x14ac:dyDescent="0.25">
      <c r="W9045" s="65"/>
      <c r="X9045" s="104"/>
      <c r="Y9045" s="54"/>
      <c r="Z9045" s="66"/>
    </row>
    <row r="9046" spans="23:26" x14ac:dyDescent="0.25">
      <c r="W9046" s="65"/>
      <c r="X9046" s="104"/>
      <c r="Y9046" s="54"/>
      <c r="Z9046" s="66"/>
    </row>
    <row r="9047" spans="23:26" x14ac:dyDescent="0.25">
      <c r="W9047" s="65"/>
      <c r="X9047" s="104"/>
      <c r="Y9047" s="54"/>
      <c r="Z9047" s="66"/>
    </row>
    <row r="9048" spans="23:26" x14ac:dyDescent="0.25">
      <c r="W9048" s="65"/>
      <c r="X9048" s="104"/>
      <c r="Y9048" s="54"/>
      <c r="Z9048" s="66"/>
    </row>
    <row r="9049" spans="23:26" x14ac:dyDescent="0.25">
      <c r="W9049" s="65"/>
      <c r="X9049" s="104"/>
      <c r="Y9049" s="54"/>
      <c r="Z9049" s="66"/>
    </row>
    <row r="9050" spans="23:26" x14ac:dyDescent="0.25">
      <c r="W9050" s="65"/>
      <c r="X9050" s="104"/>
      <c r="Y9050" s="54"/>
      <c r="Z9050" s="66"/>
    </row>
    <row r="9051" spans="23:26" x14ac:dyDescent="0.25">
      <c r="W9051" s="65"/>
      <c r="X9051" s="104"/>
      <c r="Y9051" s="54"/>
      <c r="Z9051" s="66"/>
    </row>
    <row r="9052" spans="23:26" x14ac:dyDescent="0.25">
      <c r="W9052" s="65"/>
      <c r="X9052" s="104"/>
      <c r="Y9052" s="54"/>
      <c r="Z9052" s="66"/>
    </row>
    <row r="9053" spans="23:26" x14ac:dyDescent="0.25">
      <c r="W9053" s="65"/>
      <c r="X9053" s="104"/>
      <c r="Y9053" s="54"/>
      <c r="Z9053" s="66"/>
    </row>
    <row r="9054" spans="23:26" x14ac:dyDescent="0.25">
      <c r="W9054" s="65"/>
      <c r="X9054" s="104"/>
      <c r="Y9054" s="54"/>
      <c r="Z9054" s="66"/>
    </row>
    <row r="9055" spans="23:26" x14ac:dyDescent="0.25">
      <c r="W9055" s="65"/>
      <c r="X9055" s="104"/>
      <c r="Y9055" s="54"/>
      <c r="Z9055" s="66"/>
    </row>
    <row r="9056" spans="23:26" x14ac:dyDescent="0.25">
      <c r="W9056" s="65"/>
      <c r="X9056" s="104"/>
      <c r="Y9056" s="54"/>
      <c r="Z9056" s="66"/>
    </row>
    <row r="9057" spans="23:26" x14ac:dyDescent="0.25">
      <c r="W9057" s="65"/>
      <c r="X9057" s="104"/>
      <c r="Y9057" s="54"/>
      <c r="Z9057" s="66"/>
    </row>
    <row r="9058" spans="23:26" x14ac:dyDescent="0.25">
      <c r="W9058" s="65"/>
      <c r="X9058" s="104"/>
      <c r="Y9058" s="54"/>
      <c r="Z9058" s="66"/>
    </row>
    <row r="9059" spans="23:26" x14ac:dyDescent="0.25">
      <c r="W9059" s="65"/>
      <c r="X9059" s="104"/>
      <c r="Y9059" s="54"/>
      <c r="Z9059" s="66"/>
    </row>
    <row r="9060" spans="23:26" x14ac:dyDescent="0.25">
      <c r="W9060" s="65"/>
      <c r="X9060" s="104"/>
      <c r="Y9060" s="54"/>
      <c r="Z9060" s="66"/>
    </row>
    <row r="9061" spans="23:26" x14ac:dyDescent="0.25">
      <c r="W9061" s="65"/>
      <c r="X9061" s="104"/>
      <c r="Y9061" s="54"/>
      <c r="Z9061" s="66"/>
    </row>
    <row r="9062" spans="23:26" x14ac:dyDescent="0.25">
      <c r="W9062" s="65"/>
      <c r="X9062" s="104"/>
      <c r="Y9062" s="54"/>
      <c r="Z9062" s="66"/>
    </row>
    <row r="9063" spans="23:26" x14ac:dyDescent="0.25">
      <c r="W9063" s="65"/>
      <c r="X9063" s="104"/>
      <c r="Y9063" s="54"/>
      <c r="Z9063" s="66"/>
    </row>
    <row r="9064" spans="23:26" x14ac:dyDescent="0.25">
      <c r="W9064" s="65"/>
      <c r="X9064" s="104"/>
      <c r="Y9064" s="54"/>
      <c r="Z9064" s="66"/>
    </row>
    <row r="9065" spans="23:26" x14ac:dyDescent="0.25">
      <c r="W9065" s="65"/>
      <c r="X9065" s="104"/>
      <c r="Y9065" s="54"/>
      <c r="Z9065" s="66"/>
    </row>
    <row r="9066" spans="23:26" x14ac:dyDescent="0.25">
      <c r="W9066" s="65"/>
      <c r="X9066" s="104"/>
      <c r="Y9066" s="54"/>
      <c r="Z9066" s="66"/>
    </row>
    <row r="9067" spans="23:26" x14ac:dyDescent="0.25">
      <c r="W9067" s="65"/>
      <c r="X9067" s="104"/>
      <c r="Y9067" s="54"/>
      <c r="Z9067" s="66"/>
    </row>
    <row r="9068" spans="23:26" x14ac:dyDescent="0.25">
      <c r="W9068" s="65"/>
      <c r="X9068" s="104"/>
      <c r="Y9068" s="54"/>
      <c r="Z9068" s="66"/>
    </row>
    <row r="9069" spans="23:26" x14ac:dyDescent="0.25">
      <c r="W9069" s="65"/>
      <c r="X9069" s="104"/>
      <c r="Y9069" s="54"/>
      <c r="Z9069" s="66"/>
    </row>
    <row r="9070" spans="23:26" x14ac:dyDescent="0.25">
      <c r="W9070" s="65"/>
      <c r="X9070" s="104"/>
      <c r="Y9070" s="54"/>
      <c r="Z9070" s="66"/>
    </row>
    <row r="9071" spans="23:26" x14ac:dyDescent="0.25">
      <c r="W9071" s="65"/>
      <c r="X9071" s="104"/>
      <c r="Y9071" s="54"/>
      <c r="Z9071" s="66"/>
    </row>
    <row r="9072" spans="23:26" x14ac:dyDescent="0.25">
      <c r="W9072" s="65"/>
      <c r="X9072" s="104"/>
      <c r="Y9072" s="54"/>
      <c r="Z9072" s="66"/>
    </row>
    <row r="9073" spans="23:26" x14ac:dyDescent="0.25">
      <c r="W9073" s="65"/>
      <c r="X9073" s="104"/>
      <c r="Y9073" s="54"/>
      <c r="Z9073" s="66"/>
    </row>
    <row r="9074" spans="23:26" x14ac:dyDescent="0.25">
      <c r="W9074" s="65"/>
      <c r="X9074" s="104"/>
      <c r="Y9074" s="54"/>
      <c r="Z9074" s="66"/>
    </row>
    <row r="9075" spans="23:26" x14ac:dyDescent="0.25">
      <c r="W9075" s="65"/>
      <c r="X9075" s="104"/>
      <c r="Y9075" s="54"/>
      <c r="Z9075" s="66"/>
    </row>
    <row r="9076" spans="23:26" x14ac:dyDescent="0.25">
      <c r="W9076" s="65"/>
      <c r="X9076" s="104"/>
      <c r="Y9076" s="54"/>
      <c r="Z9076" s="66"/>
    </row>
    <row r="9077" spans="23:26" x14ac:dyDescent="0.25">
      <c r="W9077" s="65"/>
      <c r="X9077" s="104"/>
      <c r="Y9077" s="54"/>
      <c r="Z9077" s="66"/>
    </row>
    <row r="9078" spans="23:26" x14ac:dyDescent="0.25">
      <c r="W9078" s="65"/>
      <c r="X9078" s="104"/>
      <c r="Y9078" s="54"/>
      <c r="Z9078" s="66"/>
    </row>
    <row r="9079" spans="23:26" x14ac:dyDescent="0.25">
      <c r="W9079" s="65"/>
      <c r="X9079" s="104"/>
      <c r="Y9079" s="54"/>
      <c r="Z9079" s="66"/>
    </row>
    <row r="9080" spans="23:26" x14ac:dyDescent="0.25">
      <c r="W9080" s="65"/>
      <c r="X9080" s="104"/>
      <c r="Y9080" s="54"/>
      <c r="Z9080" s="66"/>
    </row>
    <row r="9081" spans="23:26" x14ac:dyDescent="0.25">
      <c r="W9081" s="65"/>
      <c r="X9081" s="104"/>
      <c r="Y9081" s="54"/>
      <c r="Z9081" s="66"/>
    </row>
    <row r="9082" spans="23:26" x14ac:dyDescent="0.25">
      <c r="W9082" s="65"/>
      <c r="X9082" s="104"/>
      <c r="Y9082" s="54"/>
      <c r="Z9082" s="66"/>
    </row>
    <row r="9083" spans="23:26" x14ac:dyDescent="0.25">
      <c r="W9083" s="65"/>
      <c r="X9083" s="104"/>
      <c r="Y9083" s="54"/>
      <c r="Z9083" s="66"/>
    </row>
    <row r="9084" spans="23:26" x14ac:dyDescent="0.25">
      <c r="W9084" s="65"/>
      <c r="X9084" s="104"/>
      <c r="Y9084" s="54"/>
      <c r="Z9084" s="66"/>
    </row>
    <row r="9085" spans="23:26" x14ac:dyDescent="0.25">
      <c r="W9085" s="65"/>
      <c r="X9085" s="104"/>
      <c r="Y9085" s="54"/>
      <c r="Z9085" s="66"/>
    </row>
    <row r="9086" spans="23:26" x14ac:dyDescent="0.25">
      <c r="W9086" s="65"/>
      <c r="X9086" s="104"/>
      <c r="Y9086" s="54"/>
      <c r="Z9086" s="66"/>
    </row>
    <row r="9087" spans="23:26" x14ac:dyDescent="0.25">
      <c r="W9087" s="65"/>
      <c r="X9087" s="104"/>
      <c r="Y9087" s="54"/>
      <c r="Z9087" s="66"/>
    </row>
    <row r="9088" spans="23:26" x14ac:dyDescent="0.25">
      <c r="W9088" s="65"/>
      <c r="X9088" s="104"/>
      <c r="Y9088" s="54"/>
      <c r="Z9088" s="66"/>
    </row>
    <row r="9089" spans="23:26" x14ac:dyDescent="0.25">
      <c r="W9089" s="65"/>
      <c r="X9089" s="104"/>
      <c r="Y9089" s="54"/>
      <c r="Z9089" s="66"/>
    </row>
    <row r="9090" spans="23:26" x14ac:dyDescent="0.25">
      <c r="W9090" s="65"/>
      <c r="X9090" s="104"/>
      <c r="Y9090" s="54"/>
      <c r="Z9090" s="66"/>
    </row>
    <row r="9091" spans="23:26" x14ac:dyDescent="0.25">
      <c r="W9091" s="65"/>
      <c r="X9091" s="104"/>
      <c r="Y9091" s="54"/>
      <c r="Z9091" s="66"/>
    </row>
    <row r="9092" spans="23:26" x14ac:dyDescent="0.25">
      <c r="W9092" s="65"/>
      <c r="X9092" s="104"/>
      <c r="Y9092" s="54"/>
      <c r="Z9092" s="66"/>
    </row>
    <row r="9093" spans="23:26" x14ac:dyDescent="0.25">
      <c r="W9093" s="65"/>
      <c r="X9093" s="104"/>
      <c r="Y9093" s="54"/>
      <c r="Z9093" s="66"/>
    </row>
    <row r="9094" spans="23:26" x14ac:dyDescent="0.25">
      <c r="W9094" s="65"/>
      <c r="X9094" s="104"/>
      <c r="Y9094" s="54"/>
      <c r="Z9094" s="66"/>
    </row>
    <row r="9095" spans="23:26" x14ac:dyDescent="0.25">
      <c r="W9095" s="65"/>
      <c r="X9095" s="104"/>
      <c r="Y9095" s="54"/>
      <c r="Z9095" s="66"/>
    </row>
    <row r="9096" spans="23:26" x14ac:dyDescent="0.25">
      <c r="W9096" s="65"/>
      <c r="X9096" s="104"/>
      <c r="Y9096" s="54"/>
      <c r="Z9096" s="66"/>
    </row>
    <row r="9097" spans="23:26" x14ac:dyDescent="0.25">
      <c r="W9097" s="65"/>
      <c r="X9097" s="104"/>
      <c r="Y9097" s="54"/>
      <c r="Z9097" s="66"/>
    </row>
    <row r="9098" spans="23:26" x14ac:dyDescent="0.25">
      <c r="W9098" s="65"/>
      <c r="X9098" s="104"/>
      <c r="Y9098" s="54"/>
      <c r="Z9098" s="66"/>
    </row>
    <row r="9099" spans="23:26" x14ac:dyDescent="0.25">
      <c r="W9099" s="65"/>
      <c r="X9099" s="104"/>
      <c r="Y9099" s="54"/>
      <c r="Z9099" s="66"/>
    </row>
    <row r="9100" spans="23:26" x14ac:dyDescent="0.25">
      <c r="W9100" s="65"/>
      <c r="X9100" s="104"/>
      <c r="Y9100" s="54"/>
      <c r="Z9100" s="66"/>
    </row>
    <row r="9101" spans="23:26" x14ac:dyDescent="0.25">
      <c r="W9101" s="65"/>
      <c r="X9101" s="104"/>
      <c r="Y9101" s="54"/>
      <c r="Z9101" s="66"/>
    </row>
    <row r="9102" spans="23:26" x14ac:dyDescent="0.25">
      <c r="W9102" s="65"/>
      <c r="X9102" s="104"/>
      <c r="Y9102" s="54"/>
      <c r="Z9102" s="66"/>
    </row>
    <row r="9103" spans="23:26" x14ac:dyDescent="0.25">
      <c r="W9103" s="65"/>
      <c r="X9103" s="104"/>
      <c r="Y9103" s="54"/>
      <c r="Z9103" s="66"/>
    </row>
    <row r="9104" spans="23:26" x14ac:dyDescent="0.25">
      <c r="W9104" s="65"/>
      <c r="X9104" s="104"/>
      <c r="Y9104" s="54"/>
      <c r="Z9104" s="66"/>
    </row>
    <row r="9105" spans="23:26" x14ac:dyDescent="0.25">
      <c r="W9105" s="65"/>
      <c r="X9105" s="104"/>
      <c r="Y9105" s="54"/>
      <c r="Z9105" s="66"/>
    </row>
    <row r="9106" spans="23:26" x14ac:dyDescent="0.25">
      <c r="W9106" s="65"/>
      <c r="X9106" s="104"/>
      <c r="Y9106" s="54"/>
      <c r="Z9106" s="66"/>
    </row>
    <row r="9107" spans="23:26" x14ac:dyDescent="0.25">
      <c r="W9107" s="65"/>
      <c r="X9107" s="104"/>
      <c r="Y9107" s="54"/>
      <c r="Z9107" s="66"/>
    </row>
    <row r="9108" spans="23:26" x14ac:dyDescent="0.25">
      <c r="W9108" s="65"/>
      <c r="X9108" s="104"/>
      <c r="Y9108" s="54"/>
      <c r="Z9108" s="66"/>
    </row>
    <row r="9109" spans="23:26" x14ac:dyDescent="0.25">
      <c r="W9109" s="65"/>
      <c r="X9109" s="104"/>
      <c r="Y9109" s="54"/>
      <c r="Z9109" s="66"/>
    </row>
    <row r="9110" spans="23:26" x14ac:dyDescent="0.25">
      <c r="W9110" s="65"/>
      <c r="X9110" s="104"/>
      <c r="Y9110" s="54"/>
      <c r="Z9110" s="66"/>
    </row>
    <row r="9111" spans="23:26" x14ac:dyDescent="0.25">
      <c r="W9111" s="65"/>
      <c r="X9111" s="104"/>
      <c r="Y9111" s="54"/>
      <c r="Z9111" s="66"/>
    </row>
    <row r="9112" spans="23:26" x14ac:dyDescent="0.25">
      <c r="W9112" s="65"/>
      <c r="X9112" s="104"/>
      <c r="Y9112" s="54"/>
      <c r="Z9112" s="66"/>
    </row>
    <row r="9113" spans="23:26" x14ac:dyDescent="0.25">
      <c r="W9113" s="65"/>
      <c r="X9113" s="104"/>
      <c r="Y9113" s="54"/>
      <c r="Z9113" s="66"/>
    </row>
    <row r="9114" spans="23:26" x14ac:dyDescent="0.25">
      <c r="W9114" s="65"/>
      <c r="X9114" s="104"/>
      <c r="Y9114" s="54"/>
      <c r="Z9114" s="66"/>
    </row>
    <row r="9115" spans="23:26" x14ac:dyDescent="0.25">
      <c r="W9115" s="65"/>
      <c r="X9115" s="104"/>
      <c r="Y9115" s="54"/>
      <c r="Z9115" s="66"/>
    </row>
    <row r="9116" spans="23:26" x14ac:dyDescent="0.25">
      <c r="W9116" s="65"/>
      <c r="X9116" s="104"/>
      <c r="Y9116" s="54"/>
      <c r="Z9116" s="66"/>
    </row>
    <row r="9117" spans="23:26" x14ac:dyDescent="0.25">
      <c r="W9117" s="65"/>
      <c r="X9117" s="104"/>
      <c r="Y9117" s="54"/>
      <c r="Z9117" s="66"/>
    </row>
    <row r="9118" spans="23:26" x14ac:dyDescent="0.25">
      <c r="W9118" s="65"/>
      <c r="X9118" s="104"/>
      <c r="Y9118" s="54"/>
      <c r="Z9118" s="66"/>
    </row>
    <row r="9119" spans="23:26" x14ac:dyDescent="0.25">
      <c r="W9119" s="65"/>
      <c r="X9119" s="104"/>
      <c r="Y9119" s="54"/>
      <c r="Z9119" s="66"/>
    </row>
    <row r="9120" spans="23:26" x14ac:dyDescent="0.25">
      <c r="W9120" s="65"/>
      <c r="X9120" s="104"/>
      <c r="Y9120" s="54"/>
      <c r="Z9120" s="66"/>
    </row>
    <row r="9121" spans="23:26" x14ac:dyDescent="0.25">
      <c r="W9121" s="65"/>
      <c r="X9121" s="104"/>
      <c r="Y9121" s="54"/>
      <c r="Z9121" s="66"/>
    </row>
    <row r="9122" spans="23:26" x14ac:dyDescent="0.25">
      <c r="W9122" s="65"/>
      <c r="X9122" s="104"/>
      <c r="Y9122" s="54"/>
      <c r="Z9122" s="66"/>
    </row>
    <row r="9123" spans="23:26" x14ac:dyDescent="0.25">
      <c r="W9123" s="65"/>
      <c r="X9123" s="104"/>
      <c r="Y9123" s="54"/>
      <c r="Z9123" s="66"/>
    </row>
    <row r="9124" spans="23:26" x14ac:dyDescent="0.25">
      <c r="W9124" s="65"/>
      <c r="X9124" s="104"/>
      <c r="Y9124" s="54"/>
      <c r="Z9124" s="66"/>
    </row>
    <row r="9125" spans="23:26" x14ac:dyDescent="0.25">
      <c r="W9125" s="65"/>
      <c r="X9125" s="104"/>
      <c r="Y9125" s="54"/>
      <c r="Z9125" s="66"/>
    </row>
    <row r="9126" spans="23:26" x14ac:dyDescent="0.25">
      <c r="W9126" s="65"/>
      <c r="X9126" s="104"/>
      <c r="Y9126" s="54"/>
      <c r="Z9126" s="66"/>
    </row>
    <row r="9127" spans="23:26" x14ac:dyDescent="0.25">
      <c r="W9127" s="65"/>
      <c r="X9127" s="104"/>
      <c r="Y9127" s="54"/>
      <c r="Z9127" s="66"/>
    </row>
    <row r="9128" spans="23:26" x14ac:dyDescent="0.25">
      <c r="W9128" s="65"/>
      <c r="X9128" s="104"/>
      <c r="Y9128" s="54"/>
      <c r="Z9128" s="66"/>
    </row>
    <row r="9129" spans="23:26" x14ac:dyDescent="0.25">
      <c r="W9129" s="65"/>
      <c r="X9129" s="104"/>
      <c r="Y9129" s="54"/>
      <c r="Z9129" s="66"/>
    </row>
    <row r="9130" spans="23:26" x14ac:dyDescent="0.25">
      <c r="W9130" s="65"/>
      <c r="X9130" s="104"/>
      <c r="Y9130" s="54"/>
      <c r="Z9130" s="66"/>
    </row>
    <row r="9131" spans="23:26" x14ac:dyDescent="0.25">
      <c r="W9131" s="65"/>
      <c r="X9131" s="104"/>
      <c r="Y9131" s="54"/>
      <c r="Z9131" s="66"/>
    </row>
    <row r="9132" spans="23:26" x14ac:dyDescent="0.25">
      <c r="W9132" s="65"/>
      <c r="X9132" s="104"/>
      <c r="Y9132" s="54"/>
      <c r="Z9132" s="66"/>
    </row>
    <row r="9133" spans="23:26" x14ac:dyDescent="0.25">
      <c r="W9133" s="65"/>
      <c r="X9133" s="104"/>
      <c r="Y9133" s="54"/>
      <c r="Z9133" s="66"/>
    </row>
    <row r="9134" spans="23:26" x14ac:dyDescent="0.25">
      <c r="W9134" s="65"/>
      <c r="X9134" s="104"/>
      <c r="Y9134" s="54"/>
      <c r="Z9134" s="66"/>
    </row>
    <row r="9135" spans="23:26" x14ac:dyDescent="0.25">
      <c r="W9135" s="65"/>
      <c r="X9135" s="104"/>
      <c r="Y9135" s="54"/>
      <c r="Z9135" s="66"/>
    </row>
    <row r="9136" spans="23:26" x14ac:dyDescent="0.25">
      <c r="W9136" s="65"/>
      <c r="X9136" s="104"/>
      <c r="Y9136" s="54"/>
      <c r="Z9136" s="66"/>
    </row>
    <row r="9137" spans="23:26" x14ac:dyDescent="0.25">
      <c r="W9137" s="65"/>
      <c r="X9137" s="104"/>
      <c r="Y9137" s="54"/>
      <c r="Z9137" s="66"/>
    </row>
    <row r="9138" spans="23:26" x14ac:dyDescent="0.25">
      <c r="W9138" s="65"/>
      <c r="X9138" s="104"/>
      <c r="Y9138" s="54"/>
      <c r="Z9138" s="66"/>
    </row>
    <row r="9139" spans="23:26" x14ac:dyDescent="0.25">
      <c r="W9139" s="65"/>
      <c r="X9139" s="104"/>
      <c r="Y9139" s="54"/>
      <c r="Z9139" s="66"/>
    </row>
    <row r="9140" spans="23:26" x14ac:dyDescent="0.25">
      <c r="W9140" s="65"/>
      <c r="X9140" s="104"/>
      <c r="Y9140" s="54"/>
      <c r="Z9140" s="66"/>
    </row>
    <row r="9141" spans="23:26" x14ac:dyDescent="0.25">
      <c r="W9141" s="65"/>
      <c r="X9141" s="104"/>
      <c r="Y9141" s="54"/>
      <c r="Z9141" s="66"/>
    </row>
    <row r="9142" spans="23:26" x14ac:dyDescent="0.25">
      <c r="W9142" s="65"/>
      <c r="X9142" s="104"/>
      <c r="Y9142" s="54"/>
      <c r="Z9142" s="66"/>
    </row>
    <row r="9143" spans="23:26" x14ac:dyDescent="0.25">
      <c r="W9143" s="65"/>
      <c r="X9143" s="104"/>
      <c r="Y9143" s="54"/>
      <c r="Z9143" s="66"/>
    </row>
    <row r="9144" spans="23:26" x14ac:dyDescent="0.25">
      <c r="W9144" s="65"/>
      <c r="X9144" s="104"/>
      <c r="Y9144" s="54"/>
      <c r="Z9144" s="66"/>
    </row>
    <row r="9145" spans="23:26" x14ac:dyDescent="0.25">
      <c r="W9145" s="65"/>
      <c r="X9145" s="104"/>
      <c r="Y9145" s="54"/>
      <c r="Z9145" s="66"/>
    </row>
    <row r="9146" spans="23:26" x14ac:dyDescent="0.25">
      <c r="W9146" s="65"/>
      <c r="X9146" s="104"/>
      <c r="Y9146" s="54"/>
      <c r="Z9146" s="66"/>
    </row>
    <row r="9147" spans="23:26" x14ac:dyDescent="0.25">
      <c r="W9147" s="65"/>
      <c r="X9147" s="104"/>
      <c r="Y9147" s="54"/>
      <c r="Z9147" s="66"/>
    </row>
    <row r="9148" spans="23:26" x14ac:dyDescent="0.25">
      <c r="W9148" s="65"/>
      <c r="X9148" s="104"/>
      <c r="Y9148" s="54"/>
      <c r="Z9148" s="66"/>
    </row>
    <row r="9149" spans="23:26" x14ac:dyDescent="0.25">
      <c r="W9149" s="65"/>
      <c r="X9149" s="104"/>
      <c r="Y9149" s="54"/>
      <c r="Z9149" s="66"/>
    </row>
    <row r="9150" spans="23:26" x14ac:dyDescent="0.25">
      <c r="W9150" s="65"/>
      <c r="X9150" s="104"/>
      <c r="Y9150" s="54"/>
      <c r="Z9150" s="66"/>
    </row>
    <row r="9151" spans="23:26" x14ac:dyDescent="0.25">
      <c r="W9151" s="65"/>
      <c r="X9151" s="104"/>
      <c r="Y9151" s="54"/>
      <c r="Z9151" s="66"/>
    </row>
    <row r="9152" spans="23:26" x14ac:dyDescent="0.25">
      <c r="W9152" s="65"/>
      <c r="X9152" s="104"/>
      <c r="Y9152" s="54"/>
      <c r="Z9152" s="66"/>
    </row>
    <row r="9153" spans="23:26" x14ac:dyDescent="0.25">
      <c r="W9153" s="65"/>
      <c r="X9153" s="104"/>
      <c r="Y9153" s="54"/>
      <c r="Z9153" s="66"/>
    </row>
    <row r="9154" spans="23:26" x14ac:dyDescent="0.25">
      <c r="W9154" s="65"/>
      <c r="X9154" s="104"/>
      <c r="Y9154" s="54"/>
      <c r="Z9154" s="66"/>
    </row>
    <row r="9155" spans="23:26" x14ac:dyDescent="0.25">
      <c r="W9155" s="65"/>
      <c r="X9155" s="104"/>
      <c r="Y9155" s="54"/>
      <c r="Z9155" s="66"/>
    </row>
    <row r="9156" spans="23:26" x14ac:dyDescent="0.25">
      <c r="W9156" s="65"/>
      <c r="X9156" s="104"/>
      <c r="Y9156" s="54"/>
      <c r="Z9156" s="66"/>
    </row>
    <row r="9157" spans="23:26" x14ac:dyDescent="0.25">
      <c r="W9157" s="65"/>
      <c r="X9157" s="104"/>
      <c r="Y9157" s="54"/>
      <c r="Z9157" s="66"/>
    </row>
    <row r="9158" spans="23:26" x14ac:dyDescent="0.25">
      <c r="W9158" s="65"/>
      <c r="X9158" s="104"/>
      <c r="Y9158" s="54"/>
      <c r="Z9158" s="66"/>
    </row>
    <row r="9159" spans="23:26" x14ac:dyDescent="0.25">
      <c r="W9159" s="65"/>
      <c r="X9159" s="104"/>
      <c r="Y9159" s="54"/>
      <c r="Z9159" s="66"/>
    </row>
    <row r="9160" spans="23:26" x14ac:dyDescent="0.25">
      <c r="W9160" s="65"/>
      <c r="X9160" s="104"/>
      <c r="Y9160" s="54"/>
      <c r="Z9160" s="66"/>
    </row>
    <row r="9161" spans="23:26" x14ac:dyDescent="0.25">
      <c r="W9161" s="65"/>
      <c r="X9161" s="104"/>
      <c r="Y9161" s="54"/>
      <c r="Z9161" s="66"/>
    </row>
    <row r="9162" spans="23:26" x14ac:dyDescent="0.25">
      <c r="W9162" s="65"/>
      <c r="X9162" s="104"/>
      <c r="Y9162" s="54"/>
      <c r="Z9162" s="66"/>
    </row>
    <row r="9163" spans="23:26" x14ac:dyDescent="0.25">
      <c r="W9163" s="65"/>
      <c r="X9163" s="104"/>
      <c r="Y9163" s="54"/>
      <c r="Z9163" s="66"/>
    </row>
    <row r="9164" spans="23:26" x14ac:dyDescent="0.25">
      <c r="W9164" s="65"/>
      <c r="X9164" s="104"/>
      <c r="Y9164" s="54"/>
      <c r="Z9164" s="66"/>
    </row>
    <row r="9165" spans="23:26" x14ac:dyDescent="0.25">
      <c r="W9165" s="65"/>
      <c r="X9165" s="104"/>
      <c r="Y9165" s="54"/>
      <c r="Z9165" s="66"/>
    </row>
    <row r="9166" spans="23:26" x14ac:dyDescent="0.25">
      <c r="W9166" s="65"/>
      <c r="X9166" s="104"/>
      <c r="Y9166" s="54"/>
      <c r="Z9166" s="66"/>
    </row>
    <row r="9167" spans="23:26" x14ac:dyDescent="0.25">
      <c r="W9167" s="65"/>
      <c r="X9167" s="104"/>
      <c r="Y9167" s="54"/>
      <c r="Z9167" s="66"/>
    </row>
    <row r="9168" spans="23:26" x14ac:dyDescent="0.25">
      <c r="W9168" s="65"/>
      <c r="X9168" s="104"/>
      <c r="Y9168" s="54"/>
      <c r="Z9168" s="66"/>
    </row>
    <row r="9169" spans="23:26" x14ac:dyDescent="0.25">
      <c r="W9169" s="65"/>
      <c r="X9169" s="104"/>
      <c r="Y9169" s="54"/>
      <c r="Z9169" s="66"/>
    </row>
    <row r="9170" spans="23:26" x14ac:dyDescent="0.25">
      <c r="W9170" s="65"/>
      <c r="X9170" s="104"/>
      <c r="Y9170" s="54"/>
      <c r="Z9170" s="66"/>
    </row>
    <row r="9171" spans="23:26" x14ac:dyDescent="0.25">
      <c r="W9171" s="65"/>
      <c r="X9171" s="104"/>
      <c r="Y9171" s="54"/>
      <c r="Z9171" s="66"/>
    </row>
    <row r="9172" spans="23:26" x14ac:dyDescent="0.25">
      <c r="W9172" s="65"/>
      <c r="X9172" s="104"/>
      <c r="Y9172" s="54"/>
      <c r="Z9172" s="66"/>
    </row>
    <row r="9173" spans="23:26" x14ac:dyDescent="0.25">
      <c r="W9173" s="65"/>
      <c r="X9173" s="104"/>
      <c r="Y9173" s="54"/>
      <c r="Z9173" s="66"/>
    </row>
    <row r="9174" spans="23:26" x14ac:dyDescent="0.25">
      <c r="W9174" s="65"/>
      <c r="X9174" s="104"/>
      <c r="Y9174" s="54"/>
      <c r="Z9174" s="66"/>
    </row>
    <row r="9175" spans="23:26" x14ac:dyDescent="0.25">
      <c r="W9175" s="65"/>
      <c r="X9175" s="104"/>
      <c r="Y9175" s="54"/>
      <c r="Z9175" s="66"/>
    </row>
    <row r="9176" spans="23:26" x14ac:dyDescent="0.25">
      <c r="W9176" s="65"/>
      <c r="X9176" s="104"/>
      <c r="Y9176" s="54"/>
      <c r="Z9176" s="66"/>
    </row>
    <row r="9177" spans="23:26" x14ac:dyDescent="0.25">
      <c r="W9177" s="65"/>
      <c r="X9177" s="104"/>
      <c r="Y9177" s="54"/>
      <c r="Z9177" s="66"/>
    </row>
    <row r="9178" spans="23:26" x14ac:dyDescent="0.25">
      <c r="W9178" s="65"/>
      <c r="X9178" s="104"/>
      <c r="Y9178" s="54"/>
      <c r="Z9178" s="66"/>
    </row>
    <row r="9179" spans="23:26" x14ac:dyDescent="0.25">
      <c r="W9179" s="65"/>
      <c r="X9179" s="104"/>
      <c r="Y9179" s="54"/>
      <c r="Z9179" s="66"/>
    </row>
    <row r="9180" spans="23:26" x14ac:dyDescent="0.25">
      <c r="W9180" s="65"/>
      <c r="X9180" s="104"/>
      <c r="Y9180" s="54"/>
      <c r="Z9180" s="66"/>
    </row>
    <row r="9181" spans="23:26" x14ac:dyDescent="0.25">
      <c r="W9181" s="65"/>
      <c r="X9181" s="104"/>
      <c r="Y9181" s="54"/>
      <c r="Z9181" s="66"/>
    </row>
    <row r="9182" spans="23:26" x14ac:dyDescent="0.25">
      <c r="W9182" s="65"/>
      <c r="X9182" s="104"/>
      <c r="Y9182" s="54"/>
      <c r="Z9182" s="66"/>
    </row>
    <row r="9183" spans="23:26" x14ac:dyDescent="0.25">
      <c r="W9183" s="65"/>
      <c r="X9183" s="104"/>
      <c r="Y9183" s="54"/>
      <c r="Z9183" s="66"/>
    </row>
    <row r="9184" spans="23:26" x14ac:dyDescent="0.25">
      <c r="W9184" s="65"/>
      <c r="X9184" s="104"/>
      <c r="Y9184" s="54"/>
      <c r="Z9184" s="66"/>
    </row>
    <row r="9185" spans="23:26" x14ac:dyDescent="0.25">
      <c r="W9185" s="65"/>
      <c r="X9185" s="104"/>
      <c r="Y9185" s="54"/>
      <c r="Z9185" s="66"/>
    </row>
    <row r="9186" spans="23:26" x14ac:dyDescent="0.25">
      <c r="W9186" s="65"/>
      <c r="X9186" s="104"/>
      <c r="Y9186" s="54"/>
      <c r="Z9186" s="66"/>
    </row>
    <row r="9187" spans="23:26" x14ac:dyDescent="0.25">
      <c r="W9187" s="65"/>
      <c r="X9187" s="104"/>
      <c r="Y9187" s="54"/>
      <c r="Z9187" s="66"/>
    </row>
    <row r="9188" spans="23:26" x14ac:dyDescent="0.25">
      <c r="W9188" s="65"/>
      <c r="X9188" s="104"/>
      <c r="Y9188" s="54"/>
      <c r="Z9188" s="66"/>
    </row>
    <row r="9189" spans="23:26" x14ac:dyDescent="0.25">
      <c r="W9189" s="65"/>
      <c r="X9189" s="104"/>
      <c r="Y9189" s="54"/>
      <c r="Z9189" s="66"/>
    </row>
    <row r="9190" spans="23:26" x14ac:dyDescent="0.25">
      <c r="W9190" s="65"/>
      <c r="X9190" s="104"/>
      <c r="Y9190" s="54"/>
      <c r="Z9190" s="66"/>
    </row>
    <row r="9191" spans="23:26" x14ac:dyDescent="0.25">
      <c r="W9191" s="65"/>
      <c r="X9191" s="104"/>
      <c r="Y9191" s="54"/>
      <c r="Z9191" s="66"/>
    </row>
    <row r="9192" spans="23:26" x14ac:dyDescent="0.25">
      <c r="W9192" s="65"/>
      <c r="X9192" s="104"/>
      <c r="Y9192" s="54"/>
      <c r="Z9192" s="66"/>
    </row>
    <row r="9193" spans="23:26" x14ac:dyDescent="0.25">
      <c r="W9193" s="65"/>
      <c r="X9193" s="104"/>
      <c r="Y9193" s="54"/>
      <c r="Z9193" s="66"/>
    </row>
    <row r="9194" spans="23:26" x14ac:dyDescent="0.25">
      <c r="W9194" s="65"/>
      <c r="X9194" s="104"/>
      <c r="Y9194" s="54"/>
      <c r="Z9194" s="66"/>
    </row>
    <row r="9195" spans="23:26" x14ac:dyDescent="0.25">
      <c r="W9195" s="65"/>
      <c r="X9195" s="104"/>
      <c r="Y9195" s="54"/>
      <c r="Z9195" s="66"/>
    </row>
    <row r="9196" spans="23:26" x14ac:dyDescent="0.25">
      <c r="W9196" s="65"/>
      <c r="X9196" s="104"/>
      <c r="Y9196" s="54"/>
      <c r="Z9196" s="66"/>
    </row>
    <row r="9197" spans="23:26" x14ac:dyDescent="0.25">
      <c r="W9197" s="65"/>
      <c r="X9197" s="104"/>
      <c r="Y9197" s="54"/>
      <c r="Z9197" s="66"/>
    </row>
    <row r="9198" spans="23:26" x14ac:dyDescent="0.25">
      <c r="W9198" s="65"/>
      <c r="X9198" s="104"/>
      <c r="Y9198" s="54"/>
      <c r="Z9198" s="66"/>
    </row>
    <row r="9199" spans="23:26" x14ac:dyDescent="0.25">
      <c r="W9199" s="65"/>
      <c r="X9199" s="104"/>
      <c r="Y9199" s="54"/>
      <c r="Z9199" s="66"/>
    </row>
    <row r="9200" spans="23:26" x14ac:dyDescent="0.25">
      <c r="W9200" s="65"/>
      <c r="X9200" s="104"/>
      <c r="Y9200" s="54"/>
      <c r="Z9200" s="66"/>
    </row>
    <row r="9201" spans="23:26" x14ac:dyDescent="0.25">
      <c r="W9201" s="65"/>
      <c r="X9201" s="104"/>
      <c r="Y9201" s="54"/>
      <c r="Z9201" s="66"/>
    </row>
    <row r="9202" spans="23:26" x14ac:dyDescent="0.25">
      <c r="W9202" s="65"/>
      <c r="X9202" s="104"/>
      <c r="Y9202" s="54"/>
      <c r="Z9202" s="66"/>
    </row>
    <row r="9203" spans="23:26" x14ac:dyDescent="0.25">
      <c r="W9203" s="65"/>
      <c r="X9203" s="104"/>
      <c r="Y9203" s="54"/>
      <c r="Z9203" s="66"/>
    </row>
    <row r="9204" spans="23:26" x14ac:dyDescent="0.25">
      <c r="W9204" s="65"/>
      <c r="X9204" s="104"/>
      <c r="Y9204" s="54"/>
      <c r="Z9204" s="66"/>
    </row>
    <row r="9205" spans="23:26" x14ac:dyDescent="0.25">
      <c r="W9205" s="65"/>
      <c r="X9205" s="104"/>
      <c r="Y9205" s="54"/>
      <c r="Z9205" s="66"/>
    </row>
    <row r="9206" spans="23:26" x14ac:dyDescent="0.25">
      <c r="W9206" s="65"/>
      <c r="X9206" s="104"/>
      <c r="Y9206" s="54"/>
      <c r="Z9206" s="66"/>
    </row>
    <row r="9207" spans="23:26" x14ac:dyDescent="0.25">
      <c r="W9207" s="65"/>
      <c r="X9207" s="104"/>
      <c r="Y9207" s="54"/>
      <c r="Z9207" s="66"/>
    </row>
    <row r="9208" spans="23:26" x14ac:dyDescent="0.25">
      <c r="W9208" s="65"/>
      <c r="X9208" s="104"/>
      <c r="Y9208" s="54"/>
      <c r="Z9208" s="66"/>
    </row>
    <row r="9209" spans="23:26" x14ac:dyDescent="0.25">
      <c r="W9209" s="65"/>
      <c r="X9209" s="104"/>
      <c r="Y9209" s="54"/>
      <c r="Z9209" s="66"/>
    </row>
    <row r="9210" spans="23:26" x14ac:dyDescent="0.25">
      <c r="W9210" s="65"/>
      <c r="X9210" s="104"/>
      <c r="Y9210" s="54"/>
      <c r="Z9210" s="66"/>
    </row>
    <row r="9211" spans="23:26" x14ac:dyDescent="0.25">
      <c r="W9211" s="65"/>
      <c r="X9211" s="104"/>
      <c r="Y9211" s="54"/>
      <c r="Z9211" s="66"/>
    </row>
    <row r="9212" spans="23:26" x14ac:dyDescent="0.25">
      <c r="W9212" s="65"/>
      <c r="X9212" s="104"/>
      <c r="Y9212" s="54"/>
      <c r="Z9212" s="66"/>
    </row>
    <row r="9213" spans="23:26" x14ac:dyDescent="0.25">
      <c r="W9213" s="65"/>
      <c r="X9213" s="104"/>
      <c r="Y9213" s="54"/>
      <c r="Z9213" s="66"/>
    </row>
    <row r="9214" spans="23:26" x14ac:dyDescent="0.25">
      <c r="W9214" s="65"/>
      <c r="X9214" s="104"/>
      <c r="Y9214" s="54"/>
      <c r="Z9214" s="66"/>
    </row>
    <row r="9215" spans="23:26" x14ac:dyDescent="0.25">
      <c r="W9215" s="65"/>
      <c r="X9215" s="104"/>
      <c r="Y9215" s="54"/>
      <c r="Z9215" s="66"/>
    </row>
    <row r="9216" spans="23:26" x14ac:dyDescent="0.25">
      <c r="W9216" s="65"/>
      <c r="X9216" s="104"/>
      <c r="Y9216" s="54"/>
      <c r="Z9216" s="66"/>
    </row>
    <row r="9217" spans="23:26" x14ac:dyDescent="0.25">
      <c r="W9217" s="65"/>
      <c r="X9217" s="104"/>
      <c r="Y9217" s="54"/>
      <c r="Z9217" s="66"/>
    </row>
    <row r="9218" spans="23:26" x14ac:dyDescent="0.25">
      <c r="W9218" s="65"/>
      <c r="X9218" s="104"/>
      <c r="Y9218" s="54"/>
      <c r="Z9218" s="66"/>
    </row>
    <row r="9219" spans="23:26" x14ac:dyDescent="0.25">
      <c r="W9219" s="65"/>
      <c r="X9219" s="104"/>
      <c r="Y9219" s="54"/>
      <c r="Z9219" s="66"/>
    </row>
    <row r="9220" spans="23:26" x14ac:dyDescent="0.25">
      <c r="W9220" s="65"/>
      <c r="X9220" s="104"/>
      <c r="Y9220" s="54"/>
      <c r="Z9220" s="66"/>
    </row>
    <row r="9221" spans="23:26" x14ac:dyDescent="0.25">
      <c r="W9221" s="65"/>
      <c r="X9221" s="104"/>
      <c r="Y9221" s="54"/>
      <c r="Z9221" s="66"/>
    </row>
    <row r="9222" spans="23:26" x14ac:dyDescent="0.25">
      <c r="W9222" s="65"/>
      <c r="X9222" s="104"/>
      <c r="Y9222" s="54"/>
      <c r="Z9222" s="66"/>
    </row>
    <row r="9223" spans="23:26" x14ac:dyDescent="0.25">
      <c r="W9223" s="65"/>
      <c r="X9223" s="104"/>
      <c r="Y9223" s="54"/>
      <c r="Z9223" s="66"/>
    </row>
    <row r="9224" spans="23:26" x14ac:dyDescent="0.25">
      <c r="W9224" s="65"/>
      <c r="X9224" s="104"/>
      <c r="Y9224" s="54"/>
      <c r="Z9224" s="66"/>
    </row>
    <row r="9225" spans="23:26" x14ac:dyDescent="0.25">
      <c r="W9225" s="65"/>
      <c r="X9225" s="104"/>
      <c r="Y9225" s="54"/>
      <c r="Z9225" s="66"/>
    </row>
    <row r="9226" spans="23:26" x14ac:dyDescent="0.25">
      <c r="W9226" s="65"/>
      <c r="X9226" s="104"/>
      <c r="Y9226" s="54"/>
      <c r="Z9226" s="66"/>
    </row>
    <row r="9227" spans="23:26" x14ac:dyDescent="0.25">
      <c r="W9227" s="65"/>
      <c r="X9227" s="104"/>
      <c r="Y9227" s="54"/>
      <c r="Z9227" s="66"/>
    </row>
    <row r="9228" spans="23:26" x14ac:dyDescent="0.25">
      <c r="W9228" s="65"/>
      <c r="X9228" s="104"/>
      <c r="Y9228" s="54"/>
      <c r="Z9228" s="66"/>
    </row>
    <row r="9229" spans="23:26" x14ac:dyDescent="0.25">
      <c r="W9229" s="65"/>
      <c r="X9229" s="104"/>
      <c r="Y9229" s="54"/>
      <c r="Z9229" s="66"/>
    </row>
    <row r="9230" spans="23:26" x14ac:dyDescent="0.25">
      <c r="W9230" s="65"/>
      <c r="X9230" s="104"/>
      <c r="Y9230" s="54"/>
      <c r="Z9230" s="66"/>
    </row>
    <row r="9231" spans="23:26" x14ac:dyDescent="0.25">
      <c r="W9231" s="65"/>
      <c r="X9231" s="104"/>
      <c r="Y9231" s="54"/>
      <c r="Z9231" s="66"/>
    </row>
    <row r="9232" spans="23:26" x14ac:dyDescent="0.25">
      <c r="W9232" s="65"/>
      <c r="X9232" s="104"/>
      <c r="Y9232" s="54"/>
      <c r="Z9232" s="66"/>
    </row>
    <row r="9233" spans="23:26" x14ac:dyDescent="0.25">
      <c r="W9233" s="65"/>
      <c r="X9233" s="104"/>
      <c r="Y9233" s="54"/>
      <c r="Z9233" s="66"/>
    </row>
    <row r="9234" spans="23:26" x14ac:dyDescent="0.25">
      <c r="W9234" s="65"/>
      <c r="X9234" s="104"/>
      <c r="Y9234" s="54"/>
      <c r="Z9234" s="66"/>
    </row>
    <row r="9235" spans="23:26" x14ac:dyDescent="0.25">
      <c r="W9235" s="65"/>
      <c r="X9235" s="104"/>
      <c r="Y9235" s="54"/>
      <c r="Z9235" s="66"/>
    </row>
    <row r="9236" spans="23:26" x14ac:dyDescent="0.25">
      <c r="W9236" s="65"/>
      <c r="X9236" s="104"/>
      <c r="Y9236" s="54"/>
      <c r="Z9236" s="66"/>
    </row>
    <row r="9237" spans="23:26" x14ac:dyDescent="0.25">
      <c r="W9237" s="65"/>
      <c r="X9237" s="104"/>
      <c r="Y9237" s="54"/>
      <c r="Z9237" s="66"/>
    </row>
    <row r="9238" spans="23:26" x14ac:dyDescent="0.25">
      <c r="W9238" s="65"/>
      <c r="X9238" s="104"/>
      <c r="Y9238" s="54"/>
      <c r="Z9238" s="66"/>
    </row>
    <row r="9239" spans="23:26" x14ac:dyDescent="0.25">
      <c r="W9239" s="65"/>
      <c r="X9239" s="104"/>
      <c r="Y9239" s="54"/>
      <c r="Z9239" s="66"/>
    </row>
    <row r="9240" spans="23:26" x14ac:dyDescent="0.25">
      <c r="W9240" s="65"/>
      <c r="X9240" s="104"/>
      <c r="Y9240" s="54"/>
      <c r="Z9240" s="66"/>
    </row>
    <row r="9241" spans="23:26" x14ac:dyDescent="0.25">
      <c r="W9241" s="65"/>
      <c r="X9241" s="104"/>
      <c r="Y9241" s="54"/>
      <c r="Z9241" s="66"/>
    </row>
    <row r="9242" spans="23:26" x14ac:dyDescent="0.25">
      <c r="W9242" s="65"/>
      <c r="X9242" s="104"/>
      <c r="Y9242" s="54"/>
      <c r="Z9242" s="66"/>
    </row>
    <row r="9243" spans="23:26" x14ac:dyDescent="0.25">
      <c r="W9243" s="65"/>
      <c r="X9243" s="104"/>
      <c r="Y9243" s="54"/>
      <c r="Z9243" s="66"/>
    </row>
    <row r="9244" spans="23:26" x14ac:dyDescent="0.25">
      <c r="W9244" s="65"/>
      <c r="X9244" s="104"/>
      <c r="Y9244" s="54"/>
      <c r="Z9244" s="66"/>
    </row>
    <row r="9245" spans="23:26" x14ac:dyDescent="0.25">
      <c r="W9245" s="65"/>
      <c r="X9245" s="104"/>
      <c r="Y9245" s="54"/>
      <c r="Z9245" s="66"/>
    </row>
    <row r="9246" spans="23:26" x14ac:dyDescent="0.25">
      <c r="W9246" s="65"/>
      <c r="X9246" s="104"/>
      <c r="Y9246" s="54"/>
      <c r="Z9246" s="66"/>
    </row>
    <row r="9247" spans="23:26" x14ac:dyDescent="0.25">
      <c r="W9247" s="65"/>
      <c r="X9247" s="104"/>
      <c r="Y9247" s="54"/>
      <c r="Z9247" s="66"/>
    </row>
    <row r="9248" spans="23:26" x14ac:dyDescent="0.25">
      <c r="W9248" s="65"/>
      <c r="X9248" s="104"/>
      <c r="Y9248" s="54"/>
      <c r="Z9248" s="66"/>
    </row>
    <row r="9249" spans="23:26" x14ac:dyDescent="0.25">
      <c r="W9249" s="65"/>
      <c r="X9249" s="104"/>
      <c r="Y9249" s="54"/>
      <c r="Z9249" s="66"/>
    </row>
    <row r="9250" spans="23:26" x14ac:dyDescent="0.25">
      <c r="W9250" s="65"/>
      <c r="X9250" s="104"/>
      <c r="Y9250" s="54"/>
      <c r="Z9250" s="66"/>
    </row>
    <row r="9251" spans="23:26" x14ac:dyDescent="0.25">
      <c r="W9251" s="65"/>
      <c r="X9251" s="104"/>
      <c r="Y9251" s="54"/>
      <c r="Z9251" s="66"/>
    </row>
    <row r="9252" spans="23:26" x14ac:dyDescent="0.25">
      <c r="W9252" s="65"/>
      <c r="X9252" s="104"/>
      <c r="Y9252" s="54"/>
      <c r="Z9252" s="66"/>
    </row>
    <row r="9253" spans="23:26" x14ac:dyDescent="0.25">
      <c r="W9253" s="65"/>
      <c r="X9253" s="104"/>
      <c r="Y9253" s="54"/>
      <c r="Z9253" s="66"/>
    </row>
    <row r="9254" spans="23:26" x14ac:dyDescent="0.25">
      <c r="W9254" s="65"/>
      <c r="X9254" s="104"/>
      <c r="Y9254" s="54"/>
      <c r="Z9254" s="66"/>
    </row>
    <row r="9255" spans="23:26" x14ac:dyDescent="0.25">
      <c r="W9255" s="65"/>
      <c r="X9255" s="104"/>
      <c r="Y9255" s="54"/>
      <c r="Z9255" s="66"/>
    </row>
    <row r="9256" spans="23:26" x14ac:dyDescent="0.25">
      <c r="W9256" s="65"/>
      <c r="X9256" s="104"/>
      <c r="Y9256" s="54"/>
      <c r="Z9256" s="66"/>
    </row>
    <row r="9257" spans="23:26" x14ac:dyDescent="0.25">
      <c r="W9257" s="65"/>
      <c r="X9257" s="104"/>
      <c r="Y9257" s="54"/>
      <c r="Z9257" s="66"/>
    </row>
    <row r="9258" spans="23:26" x14ac:dyDescent="0.25">
      <c r="W9258" s="65"/>
      <c r="X9258" s="104"/>
      <c r="Y9258" s="54"/>
      <c r="Z9258" s="66"/>
    </row>
    <row r="9259" spans="23:26" x14ac:dyDescent="0.25">
      <c r="W9259" s="65"/>
      <c r="X9259" s="104"/>
      <c r="Y9259" s="54"/>
      <c r="Z9259" s="66"/>
    </row>
    <row r="9260" spans="23:26" x14ac:dyDescent="0.25">
      <c r="W9260" s="65"/>
      <c r="X9260" s="104"/>
      <c r="Y9260" s="54"/>
      <c r="Z9260" s="66"/>
    </row>
    <row r="9261" spans="23:26" x14ac:dyDescent="0.25">
      <c r="W9261" s="65"/>
      <c r="X9261" s="104"/>
      <c r="Y9261" s="54"/>
      <c r="Z9261" s="66"/>
    </row>
    <row r="9262" spans="23:26" x14ac:dyDescent="0.25">
      <c r="W9262" s="65"/>
      <c r="X9262" s="104"/>
      <c r="Y9262" s="54"/>
      <c r="Z9262" s="66"/>
    </row>
    <row r="9263" spans="23:26" x14ac:dyDescent="0.25">
      <c r="W9263" s="65"/>
      <c r="X9263" s="104"/>
      <c r="Y9263" s="54"/>
      <c r="Z9263" s="66"/>
    </row>
    <row r="9264" spans="23:26" x14ac:dyDescent="0.25">
      <c r="W9264" s="65"/>
      <c r="X9264" s="104"/>
      <c r="Y9264" s="54"/>
      <c r="Z9264" s="66"/>
    </row>
    <row r="9265" spans="23:26" x14ac:dyDescent="0.25">
      <c r="W9265" s="65"/>
      <c r="X9265" s="104"/>
      <c r="Y9265" s="54"/>
      <c r="Z9265" s="66"/>
    </row>
    <row r="9266" spans="23:26" x14ac:dyDescent="0.25">
      <c r="W9266" s="65"/>
      <c r="X9266" s="104"/>
      <c r="Y9266" s="54"/>
      <c r="Z9266" s="66"/>
    </row>
    <row r="9267" spans="23:26" x14ac:dyDescent="0.25">
      <c r="W9267" s="65"/>
      <c r="X9267" s="104"/>
      <c r="Y9267" s="54"/>
      <c r="Z9267" s="66"/>
    </row>
    <row r="9268" spans="23:26" x14ac:dyDescent="0.25">
      <c r="W9268" s="65"/>
      <c r="X9268" s="104"/>
      <c r="Y9268" s="54"/>
      <c r="Z9268" s="66"/>
    </row>
    <row r="9269" spans="23:26" x14ac:dyDescent="0.25">
      <c r="W9269" s="65"/>
      <c r="X9269" s="104"/>
      <c r="Y9269" s="54"/>
      <c r="Z9269" s="66"/>
    </row>
    <row r="9270" spans="23:26" x14ac:dyDescent="0.25">
      <c r="W9270" s="65"/>
      <c r="X9270" s="104"/>
      <c r="Y9270" s="54"/>
      <c r="Z9270" s="66"/>
    </row>
    <row r="9271" spans="23:26" x14ac:dyDescent="0.25">
      <c r="W9271" s="65"/>
      <c r="X9271" s="104"/>
      <c r="Y9271" s="54"/>
      <c r="Z9271" s="66"/>
    </row>
    <row r="9272" spans="23:26" x14ac:dyDescent="0.25">
      <c r="W9272" s="65"/>
      <c r="X9272" s="104"/>
      <c r="Y9272" s="54"/>
      <c r="Z9272" s="66"/>
    </row>
    <row r="9273" spans="23:26" x14ac:dyDescent="0.25">
      <c r="W9273" s="65"/>
      <c r="X9273" s="104"/>
      <c r="Y9273" s="54"/>
      <c r="Z9273" s="66"/>
    </row>
    <row r="9274" spans="23:26" x14ac:dyDescent="0.25">
      <c r="W9274" s="65"/>
      <c r="X9274" s="104"/>
      <c r="Y9274" s="54"/>
      <c r="Z9274" s="66"/>
    </row>
    <row r="9275" spans="23:26" x14ac:dyDescent="0.25">
      <c r="W9275" s="65"/>
      <c r="X9275" s="104"/>
      <c r="Y9275" s="54"/>
      <c r="Z9275" s="66"/>
    </row>
    <row r="9276" spans="23:26" x14ac:dyDescent="0.25">
      <c r="W9276" s="65"/>
      <c r="X9276" s="104"/>
      <c r="Y9276" s="54"/>
      <c r="Z9276" s="66"/>
    </row>
    <row r="9277" spans="23:26" x14ac:dyDescent="0.25">
      <c r="W9277" s="65"/>
      <c r="X9277" s="104"/>
      <c r="Y9277" s="54"/>
      <c r="Z9277" s="66"/>
    </row>
    <row r="9278" spans="23:26" x14ac:dyDescent="0.25">
      <c r="W9278" s="65"/>
      <c r="X9278" s="104"/>
      <c r="Y9278" s="54"/>
      <c r="Z9278" s="66"/>
    </row>
    <row r="9279" spans="23:26" x14ac:dyDescent="0.25">
      <c r="W9279" s="65"/>
      <c r="X9279" s="104"/>
      <c r="Y9279" s="54"/>
      <c r="Z9279" s="66"/>
    </row>
    <row r="9280" spans="23:26" x14ac:dyDescent="0.25">
      <c r="W9280" s="65"/>
      <c r="X9280" s="104"/>
      <c r="Y9280" s="54"/>
      <c r="Z9280" s="66"/>
    </row>
    <row r="9281" spans="23:26" x14ac:dyDescent="0.25">
      <c r="W9281" s="65"/>
      <c r="X9281" s="104"/>
      <c r="Y9281" s="54"/>
      <c r="Z9281" s="66"/>
    </row>
    <row r="9282" spans="23:26" x14ac:dyDescent="0.25">
      <c r="W9282" s="65"/>
      <c r="X9282" s="104"/>
      <c r="Y9282" s="54"/>
      <c r="Z9282" s="66"/>
    </row>
    <row r="9283" spans="23:26" x14ac:dyDescent="0.25">
      <c r="W9283" s="65"/>
      <c r="X9283" s="104"/>
      <c r="Y9283" s="54"/>
      <c r="Z9283" s="66"/>
    </row>
    <row r="9284" spans="23:26" x14ac:dyDescent="0.25">
      <c r="W9284" s="65"/>
      <c r="X9284" s="104"/>
      <c r="Y9284" s="54"/>
      <c r="Z9284" s="66"/>
    </row>
    <row r="9285" spans="23:26" x14ac:dyDescent="0.25">
      <c r="W9285" s="65"/>
      <c r="X9285" s="104"/>
      <c r="Y9285" s="54"/>
      <c r="Z9285" s="66"/>
    </row>
    <row r="9286" spans="23:26" x14ac:dyDescent="0.25">
      <c r="W9286" s="65"/>
      <c r="X9286" s="104"/>
      <c r="Y9286" s="54"/>
      <c r="Z9286" s="66"/>
    </row>
    <row r="9287" spans="23:26" x14ac:dyDescent="0.25">
      <c r="W9287" s="65"/>
      <c r="X9287" s="104"/>
      <c r="Y9287" s="54"/>
      <c r="Z9287" s="66"/>
    </row>
    <row r="9288" spans="23:26" x14ac:dyDescent="0.25">
      <c r="W9288" s="65"/>
      <c r="X9288" s="104"/>
      <c r="Y9288" s="54"/>
      <c r="Z9288" s="66"/>
    </row>
    <row r="9289" spans="23:26" x14ac:dyDescent="0.25">
      <c r="W9289" s="65"/>
      <c r="X9289" s="104"/>
      <c r="Y9289" s="54"/>
      <c r="Z9289" s="66"/>
    </row>
    <row r="9290" spans="23:26" x14ac:dyDescent="0.25">
      <c r="W9290" s="65"/>
      <c r="X9290" s="104"/>
      <c r="Y9290" s="54"/>
      <c r="Z9290" s="66"/>
    </row>
    <row r="9291" spans="23:26" x14ac:dyDescent="0.25">
      <c r="W9291" s="65"/>
      <c r="X9291" s="104"/>
      <c r="Y9291" s="54"/>
      <c r="Z9291" s="66"/>
    </row>
    <row r="9292" spans="23:26" x14ac:dyDescent="0.25">
      <c r="W9292" s="65"/>
      <c r="X9292" s="104"/>
      <c r="Y9292" s="54"/>
      <c r="Z9292" s="66"/>
    </row>
    <row r="9293" spans="23:26" x14ac:dyDescent="0.25">
      <c r="W9293" s="65"/>
      <c r="X9293" s="104"/>
      <c r="Y9293" s="54"/>
      <c r="Z9293" s="66"/>
    </row>
    <row r="9294" spans="23:26" x14ac:dyDescent="0.25">
      <c r="W9294" s="65"/>
      <c r="X9294" s="104"/>
      <c r="Y9294" s="54"/>
      <c r="Z9294" s="66"/>
    </row>
    <row r="9295" spans="23:26" x14ac:dyDescent="0.25">
      <c r="W9295" s="65"/>
      <c r="X9295" s="104"/>
      <c r="Y9295" s="54"/>
      <c r="Z9295" s="66"/>
    </row>
    <row r="9296" spans="23:26" x14ac:dyDescent="0.25">
      <c r="W9296" s="65"/>
      <c r="X9296" s="104"/>
      <c r="Y9296" s="54"/>
      <c r="Z9296" s="66"/>
    </row>
    <row r="9297" spans="23:26" x14ac:dyDescent="0.25">
      <c r="W9297" s="65"/>
      <c r="X9297" s="104"/>
      <c r="Y9297" s="54"/>
      <c r="Z9297" s="66"/>
    </row>
    <row r="9298" spans="23:26" x14ac:dyDescent="0.25">
      <c r="W9298" s="65"/>
      <c r="X9298" s="104"/>
      <c r="Y9298" s="54"/>
      <c r="Z9298" s="66"/>
    </row>
    <row r="9299" spans="23:26" x14ac:dyDescent="0.25">
      <c r="W9299" s="65"/>
      <c r="X9299" s="104"/>
      <c r="Y9299" s="54"/>
      <c r="Z9299" s="66"/>
    </row>
    <row r="9300" spans="23:26" x14ac:dyDescent="0.25">
      <c r="W9300" s="65"/>
      <c r="X9300" s="104"/>
      <c r="Y9300" s="54"/>
      <c r="Z9300" s="66"/>
    </row>
    <row r="9301" spans="23:26" x14ac:dyDescent="0.25">
      <c r="W9301" s="65"/>
      <c r="X9301" s="104"/>
      <c r="Y9301" s="54"/>
      <c r="Z9301" s="66"/>
    </row>
    <row r="9302" spans="23:26" x14ac:dyDescent="0.25">
      <c r="W9302" s="65"/>
      <c r="X9302" s="104"/>
      <c r="Y9302" s="54"/>
      <c r="Z9302" s="66"/>
    </row>
    <row r="9303" spans="23:26" x14ac:dyDescent="0.25">
      <c r="W9303" s="65"/>
      <c r="X9303" s="104"/>
      <c r="Y9303" s="54"/>
      <c r="Z9303" s="66"/>
    </row>
    <row r="9304" spans="23:26" x14ac:dyDescent="0.25">
      <c r="W9304" s="65"/>
      <c r="X9304" s="104"/>
      <c r="Y9304" s="54"/>
      <c r="Z9304" s="66"/>
    </row>
    <row r="9305" spans="23:26" x14ac:dyDescent="0.25">
      <c r="W9305" s="65"/>
      <c r="X9305" s="104"/>
      <c r="Y9305" s="54"/>
      <c r="Z9305" s="66"/>
    </row>
    <row r="9306" spans="23:26" x14ac:dyDescent="0.25">
      <c r="W9306" s="65"/>
      <c r="X9306" s="104"/>
      <c r="Y9306" s="54"/>
      <c r="Z9306" s="66"/>
    </row>
    <row r="9307" spans="23:26" x14ac:dyDescent="0.25">
      <c r="W9307" s="65"/>
      <c r="X9307" s="104"/>
      <c r="Y9307" s="54"/>
      <c r="Z9307" s="66"/>
    </row>
    <row r="9308" spans="23:26" x14ac:dyDescent="0.25">
      <c r="W9308" s="65"/>
      <c r="X9308" s="104"/>
      <c r="Y9308" s="54"/>
      <c r="Z9308" s="66"/>
    </row>
    <row r="9309" spans="23:26" x14ac:dyDescent="0.25">
      <c r="W9309" s="65"/>
      <c r="X9309" s="104"/>
      <c r="Y9309" s="54"/>
      <c r="Z9309" s="66"/>
    </row>
    <row r="9310" spans="23:26" x14ac:dyDescent="0.25">
      <c r="W9310" s="65"/>
      <c r="X9310" s="104"/>
      <c r="Y9310" s="54"/>
      <c r="Z9310" s="66"/>
    </row>
    <row r="9311" spans="23:26" x14ac:dyDescent="0.25">
      <c r="W9311" s="65"/>
      <c r="X9311" s="104"/>
      <c r="Y9311" s="54"/>
      <c r="Z9311" s="66"/>
    </row>
    <row r="9312" spans="23:26" x14ac:dyDescent="0.25">
      <c r="W9312" s="65"/>
      <c r="X9312" s="104"/>
      <c r="Y9312" s="54"/>
      <c r="Z9312" s="66"/>
    </row>
    <row r="9313" spans="23:26" x14ac:dyDescent="0.25">
      <c r="W9313" s="65"/>
      <c r="X9313" s="104"/>
      <c r="Y9313" s="54"/>
      <c r="Z9313" s="66"/>
    </row>
    <row r="9314" spans="23:26" x14ac:dyDescent="0.25">
      <c r="W9314" s="65"/>
      <c r="X9314" s="104"/>
      <c r="Y9314" s="54"/>
      <c r="Z9314" s="66"/>
    </row>
    <row r="9315" spans="23:26" x14ac:dyDescent="0.25">
      <c r="W9315" s="65"/>
      <c r="X9315" s="104"/>
      <c r="Y9315" s="54"/>
      <c r="Z9315" s="66"/>
    </row>
    <row r="9316" spans="23:26" x14ac:dyDescent="0.25">
      <c r="W9316" s="65"/>
      <c r="X9316" s="104"/>
      <c r="Y9316" s="54"/>
      <c r="Z9316" s="66"/>
    </row>
    <row r="9317" spans="23:26" x14ac:dyDescent="0.25">
      <c r="W9317" s="65"/>
      <c r="X9317" s="104"/>
      <c r="Y9317" s="54"/>
      <c r="Z9317" s="66"/>
    </row>
    <row r="9318" spans="23:26" x14ac:dyDescent="0.25">
      <c r="W9318" s="65"/>
      <c r="X9318" s="104"/>
      <c r="Y9318" s="54"/>
      <c r="Z9318" s="66"/>
    </row>
    <row r="9319" spans="23:26" x14ac:dyDescent="0.25">
      <c r="W9319" s="65"/>
      <c r="X9319" s="104"/>
      <c r="Y9319" s="54"/>
      <c r="Z9319" s="66"/>
    </row>
    <row r="9320" spans="23:26" x14ac:dyDescent="0.25">
      <c r="W9320" s="65"/>
      <c r="X9320" s="104"/>
      <c r="Y9320" s="54"/>
      <c r="Z9320" s="66"/>
    </row>
    <row r="9321" spans="23:26" x14ac:dyDescent="0.25">
      <c r="W9321" s="65"/>
      <c r="X9321" s="104"/>
      <c r="Y9321" s="54"/>
      <c r="Z9321" s="66"/>
    </row>
    <row r="9322" spans="23:26" x14ac:dyDescent="0.25">
      <c r="W9322" s="65"/>
      <c r="X9322" s="104"/>
      <c r="Y9322" s="54"/>
      <c r="Z9322" s="66"/>
    </row>
    <row r="9323" spans="23:26" x14ac:dyDescent="0.25">
      <c r="W9323" s="65"/>
      <c r="X9323" s="104"/>
      <c r="Y9323" s="54"/>
      <c r="Z9323" s="66"/>
    </row>
    <row r="9324" spans="23:26" x14ac:dyDescent="0.25">
      <c r="W9324" s="65"/>
      <c r="X9324" s="104"/>
      <c r="Y9324" s="54"/>
      <c r="Z9324" s="66"/>
    </row>
    <row r="9325" spans="23:26" x14ac:dyDescent="0.25">
      <c r="W9325" s="65"/>
      <c r="X9325" s="104"/>
      <c r="Y9325" s="54"/>
      <c r="Z9325" s="66"/>
    </row>
    <row r="9326" spans="23:26" x14ac:dyDescent="0.25">
      <c r="W9326" s="65"/>
      <c r="X9326" s="104"/>
      <c r="Y9326" s="54"/>
      <c r="Z9326" s="66"/>
    </row>
    <row r="9327" spans="23:26" x14ac:dyDescent="0.25">
      <c r="W9327" s="65"/>
      <c r="X9327" s="104"/>
      <c r="Y9327" s="54"/>
      <c r="Z9327" s="66"/>
    </row>
    <row r="9328" spans="23:26" x14ac:dyDescent="0.25">
      <c r="W9328" s="65"/>
      <c r="X9328" s="104"/>
      <c r="Y9328" s="54"/>
      <c r="Z9328" s="66"/>
    </row>
    <row r="9329" spans="23:26" x14ac:dyDescent="0.25">
      <c r="W9329" s="65"/>
      <c r="X9329" s="104"/>
      <c r="Y9329" s="54"/>
      <c r="Z9329" s="66"/>
    </row>
    <row r="9330" spans="23:26" x14ac:dyDescent="0.25">
      <c r="W9330" s="65"/>
      <c r="X9330" s="104"/>
      <c r="Y9330" s="54"/>
      <c r="Z9330" s="66"/>
    </row>
    <row r="9331" spans="23:26" x14ac:dyDescent="0.25">
      <c r="W9331" s="65"/>
      <c r="X9331" s="104"/>
      <c r="Y9331" s="54"/>
      <c r="Z9331" s="66"/>
    </row>
    <row r="9332" spans="23:26" x14ac:dyDescent="0.25">
      <c r="W9332" s="65"/>
      <c r="X9332" s="104"/>
      <c r="Y9332" s="54"/>
      <c r="Z9332" s="66"/>
    </row>
    <row r="9333" spans="23:26" x14ac:dyDescent="0.25">
      <c r="W9333" s="65"/>
      <c r="X9333" s="104"/>
      <c r="Y9333" s="54"/>
      <c r="Z9333" s="66"/>
    </row>
    <row r="9334" spans="23:26" x14ac:dyDescent="0.25">
      <c r="W9334" s="65"/>
      <c r="X9334" s="104"/>
      <c r="Y9334" s="54"/>
      <c r="Z9334" s="66"/>
    </row>
    <row r="9335" spans="23:26" x14ac:dyDescent="0.25">
      <c r="W9335" s="65"/>
      <c r="X9335" s="104"/>
      <c r="Y9335" s="54"/>
      <c r="Z9335" s="66"/>
    </row>
    <row r="9336" spans="23:26" x14ac:dyDescent="0.25">
      <c r="W9336" s="65"/>
      <c r="X9336" s="104"/>
      <c r="Y9336" s="54"/>
      <c r="Z9336" s="66"/>
    </row>
    <row r="9337" spans="23:26" x14ac:dyDescent="0.25">
      <c r="W9337" s="65"/>
      <c r="X9337" s="104"/>
      <c r="Y9337" s="54"/>
      <c r="Z9337" s="66"/>
    </row>
    <row r="9338" spans="23:26" x14ac:dyDescent="0.25">
      <c r="W9338" s="65"/>
      <c r="X9338" s="104"/>
      <c r="Y9338" s="54"/>
      <c r="Z9338" s="66"/>
    </row>
    <row r="9339" spans="23:26" x14ac:dyDescent="0.25">
      <c r="W9339" s="65"/>
      <c r="X9339" s="104"/>
      <c r="Y9339" s="54"/>
      <c r="Z9339" s="66"/>
    </row>
    <row r="9340" spans="23:26" x14ac:dyDescent="0.25">
      <c r="W9340" s="65"/>
      <c r="X9340" s="104"/>
      <c r="Y9340" s="54"/>
      <c r="Z9340" s="66"/>
    </row>
    <row r="9341" spans="23:26" x14ac:dyDescent="0.25">
      <c r="W9341" s="65"/>
      <c r="X9341" s="104"/>
      <c r="Y9341" s="54"/>
      <c r="Z9341" s="66"/>
    </row>
    <row r="9342" spans="23:26" x14ac:dyDescent="0.25">
      <c r="W9342" s="65"/>
      <c r="X9342" s="104"/>
      <c r="Y9342" s="54"/>
      <c r="Z9342" s="66"/>
    </row>
    <row r="9343" spans="23:26" x14ac:dyDescent="0.25">
      <c r="W9343" s="65"/>
      <c r="X9343" s="104"/>
      <c r="Y9343" s="54"/>
      <c r="Z9343" s="66"/>
    </row>
    <row r="9344" spans="23:26" x14ac:dyDescent="0.25">
      <c r="W9344" s="65"/>
      <c r="X9344" s="104"/>
      <c r="Y9344" s="54"/>
      <c r="Z9344" s="66"/>
    </row>
    <row r="9345" spans="23:26" x14ac:dyDescent="0.25">
      <c r="W9345" s="65"/>
      <c r="X9345" s="104"/>
      <c r="Y9345" s="54"/>
      <c r="Z9345" s="66"/>
    </row>
    <row r="9346" spans="23:26" x14ac:dyDescent="0.25">
      <c r="W9346" s="65"/>
      <c r="X9346" s="104"/>
      <c r="Y9346" s="54"/>
      <c r="Z9346" s="66"/>
    </row>
    <row r="9347" spans="23:26" x14ac:dyDescent="0.25">
      <c r="W9347" s="65"/>
      <c r="X9347" s="104"/>
      <c r="Y9347" s="54"/>
      <c r="Z9347" s="66"/>
    </row>
    <row r="9348" spans="23:26" x14ac:dyDescent="0.25">
      <c r="W9348" s="65"/>
      <c r="X9348" s="104"/>
      <c r="Y9348" s="54"/>
      <c r="Z9348" s="66"/>
    </row>
    <row r="9349" spans="23:26" x14ac:dyDescent="0.25">
      <c r="W9349" s="65"/>
      <c r="X9349" s="104"/>
      <c r="Y9349" s="54"/>
      <c r="Z9349" s="66"/>
    </row>
    <row r="9350" spans="23:26" x14ac:dyDescent="0.25">
      <c r="W9350" s="65"/>
      <c r="X9350" s="104"/>
      <c r="Y9350" s="54"/>
      <c r="Z9350" s="66"/>
    </row>
    <row r="9351" spans="23:26" x14ac:dyDescent="0.25">
      <c r="W9351" s="65"/>
      <c r="X9351" s="104"/>
      <c r="Y9351" s="54"/>
      <c r="Z9351" s="66"/>
    </row>
    <row r="9352" spans="23:26" x14ac:dyDescent="0.25">
      <c r="W9352" s="65"/>
      <c r="X9352" s="104"/>
      <c r="Y9352" s="54"/>
      <c r="Z9352" s="66"/>
    </row>
    <row r="9353" spans="23:26" x14ac:dyDescent="0.25">
      <c r="W9353" s="65"/>
      <c r="X9353" s="104"/>
      <c r="Y9353" s="54"/>
      <c r="Z9353" s="66"/>
    </row>
    <row r="9354" spans="23:26" x14ac:dyDescent="0.25">
      <c r="W9354" s="65"/>
      <c r="X9354" s="104"/>
      <c r="Y9354" s="54"/>
      <c r="Z9354" s="66"/>
    </row>
    <row r="9355" spans="23:26" x14ac:dyDescent="0.25">
      <c r="W9355" s="65"/>
      <c r="X9355" s="104"/>
      <c r="Y9355" s="54"/>
      <c r="Z9355" s="66"/>
    </row>
    <row r="9356" spans="23:26" x14ac:dyDescent="0.25">
      <c r="W9356" s="65"/>
      <c r="X9356" s="104"/>
      <c r="Y9356" s="54"/>
      <c r="Z9356" s="66"/>
    </row>
    <row r="9357" spans="23:26" x14ac:dyDescent="0.25">
      <c r="W9357" s="65"/>
      <c r="X9357" s="104"/>
      <c r="Y9357" s="54"/>
      <c r="Z9357" s="66"/>
    </row>
    <row r="9358" spans="23:26" x14ac:dyDescent="0.25">
      <c r="W9358" s="65"/>
      <c r="X9358" s="104"/>
      <c r="Y9358" s="54"/>
      <c r="Z9358" s="66"/>
    </row>
    <row r="9359" spans="23:26" x14ac:dyDescent="0.25">
      <c r="W9359" s="65"/>
      <c r="X9359" s="104"/>
      <c r="Y9359" s="54"/>
      <c r="Z9359" s="66"/>
    </row>
    <row r="9360" spans="23:26" x14ac:dyDescent="0.25">
      <c r="W9360" s="65"/>
      <c r="X9360" s="104"/>
      <c r="Y9360" s="54"/>
      <c r="Z9360" s="66"/>
    </row>
    <row r="9361" spans="23:26" x14ac:dyDescent="0.25">
      <c r="W9361" s="65"/>
      <c r="X9361" s="104"/>
      <c r="Y9361" s="54"/>
      <c r="Z9361" s="66"/>
    </row>
    <row r="9362" spans="23:26" x14ac:dyDescent="0.25">
      <c r="W9362" s="65"/>
      <c r="X9362" s="104"/>
      <c r="Y9362" s="54"/>
      <c r="Z9362" s="66"/>
    </row>
    <row r="9363" spans="23:26" x14ac:dyDescent="0.25">
      <c r="W9363" s="65"/>
      <c r="X9363" s="104"/>
      <c r="Y9363" s="54"/>
      <c r="Z9363" s="66"/>
    </row>
    <row r="9364" spans="23:26" x14ac:dyDescent="0.25">
      <c r="W9364" s="65"/>
      <c r="X9364" s="104"/>
      <c r="Y9364" s="54"/>
      <c r="Z9364" s="66"/>
    </row>
    <row r="9365" spans="23:26" x14ac:dyDescent="0.25">
      <c r="W9365" s="65"/>
      <c r="X9365" s="104"/>
      <c r="Y9365" s="54"/>
      <c r="Z9365" s="66"/>
    </row>
    <row r="9366" spans="23:26" x14ac:dyDescent="0.25">
      <c r="W9366" s="65"/>
      <c r="X9366" s="104"/>
      <c r="Y9366" s="54"/>
      <c r="Z9366" s="66"/>
    </row>
    <row r="9367" spans="23:26" x14ac:dyDescent="0.25">
      <c r="W9367" s="65"/>
      <c r="X9367" s="104"/>
      <c r="Y9367" s="54"/>
      <c r="Z9367" s="66"/>
    </row>
    <row r="9368" spans="23:26" x14ac:dyDescent="0.25">
      <c r="W9368" s="65"/>
      <c r="X9368" s="104"/>
      <c r="Y9368" s="54"/>
      <c r="Z9368" s="66"/>
    </row>
    <row r="9369" spans="23:26" x14ac:dyDescent="0.25">
      <c r="W9369" s="65"/>
      <c r="X9369" s="104"/>
      <c r="Y9369" s="54"/>
      <c r="Z9369" s="66"/>
    </row>
    <row r="9370" spans="23:26" x14ac:dyDescent="0.25">
      <c r="W9370" s="65"/>
      <c r="X9370" s="104"/>
      <c r="Y9370" s="54"/>
      <c r="Z9370" s="66"/>
    </row>
    <row r="9371" spans="23:26" x14ac:dyDescent="0.25">
      <c r="W9371" s="65"/>
      <c r="X9371" s="104"/>
      <c r="Y9371" s="54"/>
      <c r="Z9371" s="66"/>
    </row>
    <row r="9372" spans="23:26" x14ac:dyDescent="0.25">
      <c r="W9372" s="65"/>
      <c r="X9372" s="104"/>
      <c r="Y9372" s="54"/>
      <c r="Z9372" s="66"/>
    </row>
    <row r="9373" spans="23:26" x14ac:dyDescent="0.25">
      <c r="W9373" s="65"/>
      <c r="X9373" s="104"/>
      <c r="Y9373" s="54"/>
      <c r="Z9373" s="66"/>
    </row>
    <row r="9374" spans="23:26" x14ac:dyDescent="0.25">
      <c r="W9374" s="65"/>
      <c r="X9374" s="104"/>
      <c r="Y9374" s="54"/>
      <c r="Z9374" s="66"/>
    </row>
    <row r="9375" spans="23:26" x14ac:dyDescent="0.25">
      <c r="W9375" s="65"/>
      <c r="X9375" s="104"/>
      <c r="Y9375" s="54"/>
      <c r="Z9375" s="66"/>
    </row>
    <row r="9376" spans="23:26" x14ac:dyDescent="0.25">
      <c r="W9376" s="65"/>
      <c r="X9376" s="104"/>
      <c r="Y9376" s="54"/>
      <c r="Z9376" s="66"/>
    </row>
    <row r="9377" spans="23:26" x14ac:dyDescent="0.25">
      <c r="W9377" s="65"/>
      <c r="X9377" s="104"/>
      <c r="Y9377" s="54"/>
      <c r="Z9377" s="66"/>
    </row>
    <row r="9378" spans="23:26" x14ac:dyDescent="0.25">
      <c r="W9378" s="65"/>
      <c r="X9378" s="104"/>
      <c r="Y9378" s="54"/>
      <c r="Z9378" s="66"/>
    </row>
    <row r="9379" spans="23:26" x14ac:dyDescent="0.25">
      <c r="W9379" s="65"/>
      <c r="X9379" s="104"/>
      <c r="Y9379" s="54"/>
      <c r="Z9379" s="66"/>
    </row>
    <row r="9380" spans="23:26" x14ac:dyDescent="0.25">
      <c r="W9380" s="65"/>
      <c r="X9380" s="104"/>
      <c r="Y9380" s="54"/>
      <c r="Z9380" s="66"/>
    </row>
    <row r="9381" spans="23:26" x14ac:dyDescent="0.25">
      <c r="W9381" s="65"/>
      <c r="X9381" s="104"/>
      <c r="Y9381" s="54"/>
      <c r="Z9381" s="66"/>
    </row>
    <row r="9382" spans="23:26" x14ac:dyDescent="0.25">
      <c r="W9382" s="65"/>
      <c r="X9382" s="104"/>
      <c r="Y9382" s="54"/>
      <c r="Z9382" s="66"/>
    </row>
    <row r="9383" spans="23:26" x14ac:dyDescent="0.25">
      <c r="W9383" s="65"/>
      <c r="X9383" s="104"/>
      <c r="Y9383" s="54"/>
      <c r="Z9383" s="66"/>
    </row>
    <row r="9384" spans="23:26" x14ac:dyDescent="0.25">
      <c r="W9384" s="65"/>
      <c r="X9384" s="104"/>
      <c r="Y9384" s="54"/>
      <c r="Z9384" s="66"/>
    </row>
    <row r="9385" spans="23:26" x14ac:dyDescent="0.25">
      <c r="W9385" s="65"/>
      <c r="X9385" s="104"/>
      <c r="Y9385" s="54"/>
      <c r="Z9385" s="66"/>
    </row>
    <row r="9386" spans="23:26" x14ac:dyDescent="0.25">
      <c r="W9386" s="65"/>
      <c r="X9386" s="104"/>
      <c r="Y9386" s="54"/>
      <c r="Z9386" s="66"/>
    </row>
    <row r="9387" spans="23:26" x14ac:dyDescent="0.25">
      <c r="W9387" s="65"/>
      <c r="X9387" s="104"/>
      <c r="Y9387" s="54"/>
      <c r="Z9387" s="66"/>
    </row>
    <row r="9388" spans="23:26" x14ac:dyDescent="0.25">
      <c r="W9388" s="65"/>
      <c r="X9388" s="104"/>
      <c r="Y9388" s="54"/>
      <c r="Z9388" s="66"/>
    </row>
    <row r="9389" spans="23:26" x14ac:dyDescent="0.25">
      <c r="W9389" s="65"/>
      <c r="X9389" s="104"/>
      <c r="Y9389" s="54"/>
      <c r="Z9389" s="66"/>
    </row>
    <row r="9390" spans="23:26" x14ac:dyDescent="0.25">
      <c r="W9390" s="65"/>
      <c r="X9390" s="104"/>
      <c r="Y9390" s="54"/>
      <c r="Z9390" s="66"/>
    </row>
    <row r="9391" spans="23:26" x14ac:dyDescent="0.25">
      <c r="W9391" s="65"/>
      <c r="X9391" s="104"/>
      <c r="Y9391" s="54"/>
      <c r="Z9391" s="66"/>
    </row>
    <row r="9392" spans="23:26" x14ac:dyDescent="0.25">
      <c r="W9392" s="65"/>
      <c r="X9392" s="104"/>
      <c r="Y9392" s="54"/>
      <c r="Z9392" s="66"/>
    </row>
    <row r="9393" spans="23:26" x14ac:dyDescent="0.25">
      <c r="W9393" s="65"/>
      <c r="X9393" s="104"/>
      <c r="Y9393" s="54"/>
      <c r="Z9393" s="66"/>
    </row>
    <row r="9394" spans="23:26" x14ac:dyDescent="0.25">
      <c r="W9394" s="65"/>
      <c r="X9394" s="104"/>
      <c r="Y9394" s="54"/>
      <c r="Z9394" s="66"/>
    </row>
    <row r="9395" spans="23:26" x14ac:dyDescent="0.25">
      <c r="W9395" s="65"/>
      <c r="X9395" s="104"/>
      <c r="Y9395" s="54"/>
      <c r="Z9395" s="66"/>
    </row>
    <row r="9396" spans="23:26" x14ac:dyDescent="0.25">
      <c r="W9396" s="65"/>
      <c r="X9396" s="104"/>
      <c r="Y9396" s="54"/>
      <c r="Z9396" s="66"/>
    </row>
    <row r="9397" spans="23:26" x14ac:dyDescent="0.25">
      <c r="W9397" s="65"/>
      <c r="X9397" s="104"/>
      <c r="Y9397" s="54"/>
      <c r="Z9397" s="66"/>
    </row>
    <row r="9398" spans="23:26" x14ac:dyDescent="0.25">
      <c r="W9398" s="65"/>
      <c r="X9398" s="104"/>
      <c r="Y9398" s="54"/>
      <c r="Z9398" s="66"/>
    </row>
    <row r="9399" spans="23:26" x14ac:dyDescent="0.25">
      <c r="W9399" s="65"/>
      <c r="X9399" s="104"/>
      <c r="Y9399" s="54"/>
      <c r="Z9399" s="66"/>
    </row>
    <row r="9400" spans="23:26" x14ac:dyDescent="0.25">
      <c r="W9400" s="65"/>
      <c r="X9400" s="104"/>
      <c r="Y9400" s="54"/>
      <c r="Z9400" s="66"/>
    </row>
    <row r="9401" spans="23:26" x14ac:dyDescent="0.25">
      <c r="W9401" s="65"/>
      <c r="X9401" s="104"/>
      <c r="Y9401" s="54"/>
      <c r="Z9401" s="66"/>
    </row>
    <row r="9402" spans="23:26" x14ac:dyDescent="0.25">
      <c r="W9402" s="65"/>
      <c r="X9402" s="104"/>
      <c r="Y9402" s="54"/>
      <c r="Z9402" s="66"/>
    </row>
    <row r="9403" spans="23:26" x14ac:dyDescent="0.25">
      <c r="W9403" s="65"/>
      <c r="X9403" s="104"/>
      <c r="Y9403" s="54"/>
      <c r="Z9403" s="66"/>
    </row>
    <row r="9404" spans="23:26" x14ac:dyDescent="0.25">
      <c r="W9404" s="65"/>
      <c r="X9404" s="104"/>
      <c r="Y9404" s="54"/>
      <c r="Z9404" s="66"/>
    </row>
    <row r="9405" spans="23:26" x14ac:dyDescent="0.25">
      <c r="W9405" s="65"/>
      <c r="X9405" s="104"/>
      <c r="Y9405" s="54"/>
      <c r="Z9405" s="66"/>
    </row>
    <row r="9406" spans="23:26" x14ac:dyDescent="0.25">
      <c r="W9406" s="65"/>
      <c r="X9406" s="104"/>
      <c r="Y9406" s="54"/>
      <c r="Z9406" s="66"/>
    </row>
    <row r="9407" spans="23:26" x14ac:dyDescent="0.25">
      <c r="W9407" s="65"/>
      <c r="X9407" s="104"/>
      <c r="Y9407" s="54"/>
      <c r="Z9407" s="66"/>
    </row>
    <row r="9408" spans="23:26" x14ac:dyDescent="0.25">
      <c r="W9408" s="65"/>
      <c r="X9408" s="104"/>
      <c r="Y9408" s="54"/>
      <c r="Z9408" s="66"/>
    </row>
    <row r="9409" spans="23:26" x14ac:dyDescent="0.25">
      <c r="W9409" s="65"/>
      <c r="X9409" s="104"/>
      <c r="Y9409" s="54"/>
      <c r="Z9409" s="66"/>
    </row>
    <row r="9410" spans="23:26" x14ac:dyDescent="0.25">
      <c r="W9410" s="65"/>
      <c r="X9410" s="104"/>
      <c r="Y9410" s="54"/>
      <c r="Z9410" s="66"/>
    </row>
    <row r="9411" spans="23:26" x14ac:dyDescent="0.25">
      <c r="W9411" s="65"/>
      <c r="X9411" s="104"/>
      <c r="Y9411" s="54"/>
      <c r="Z9411" s="66"/>
    </row>
    <row r="9412" spans="23:26" x14ac:dyDescent="0.25">
      <c r="W9412" s="65"/>
      <c r="X9412" s="104"/>
      <c r="Y9412" s="54"/>
      <c r="Z9412" s="66"/>
    </row>
    <row r="9413" spans="23:26" x14ac:dyDescent="0.25">
      <c r="W9413" s="65"/>
      <c r="X9413" s="104"/>
      <c r="Y9413" s="54"/>
      <c r="Z9413" s="66"/>
    </row>
    <row r="9414" spans="23:26" x14ac:dyDescent="0.25">
      <c r="W9414" s="65"/>
      <c r="X9414" s="104"/>
      <c r="Y9414" s="54"/>
      <c r="Z9414" s="66"/>
    </row>
    <row r="9415" spans="23:26" x14ac:dyDescent="0.25">
      <c r="W9415" s="65"/>
      <c r="X9415" s="104"/>
      <c r="Y9415" s="54"/>
      <c r="Z9415" s="66"/>
    </row>
    <row r="9416" spans="23:26" x14ac:dyDescent="0.25">
      <c r="W9416" s="65"/>
      <c r="X9416" s="104"/>
      <c r="Y9416" s="54"/>
      <c r="Z9416" s="66"/>
    </row>
    <row r="9417" spans="23:26" x14ac:dyDescent="0.25">
      <c r="W9417" s="65"/>
      <c r="X9417" s="104"/>
      <c r="Y9417" s="54"/>
      <c r="Z9417" s="66"/>
    </row>
    <row r="9418" spans="23:26" x14ac:dyDescent="0.25">
      <c r="W9418" s="65"/>
      <c r="X9418" s="104"/>
      <c r="Y9418" s="54"/>
      <c r="Z9418" s="66"/>
    </row>
    <row r="9419" spans="23:26" x14ac:dyDescent="0.25">
      <c r="W9419" s="65"/>
      <c r="X9419" s="104"/>
      <c r="Y9419" s="54"/>
      <c r="Z9419" s="66"/>
    </row>
    <row r="9420" spans="23:26" x14ac:dyDescent="0.25">
      <c r="W9420" s="65"/>
      <c r="X9420" s="104"/>
      <c r="Y9420" s="54"/>
      <c r="Z9420" s="66"/>
    </row>
    <row r="9421" spans="23:26" x14ac:dyDescent="0.25">
      <c r="W9421" s="65"/>
      <c r="X9421" s="104"/>
      <c r="Y9421" s="54"/>
      <c r="Z9421" s="66"/>
    </row>
    <row r="9422" spans="23:26" x14ac:dyDescent="0.25">
      <c r="W9422" s="65"/>
      <c r="X9422" s="104"/>
      <c r="Y9422" s="54"/>
      <c r="Z9422" s="66"/>
    </row>
    <row r="9423" spans="23:26" x14ac:dyDescent="0.25">
      <c r="W9423" s="65"/>
      <c r="X9423" s="104"/>
      <c r="Y9423" s="54"/>
      <c r="Z9423" s="66"/>
    </row>
    <row r="9424" spans="23:26" x14ac:dyDescent="0.25">
      <c r="W9424" s="65"/>
      <c r="X9424" s="104"/>
      <c r="Y9424" s="54"/>
      <c r="Z9424" s="66"/>
    </row>
    <row r="9425" spans="23:26" x14ac:dyDescent="0.25">
      <c r="W9425" s="65"/>
      <c r="X9425" s="104"/>
      <c r="Y9425" s="54"/>
      <c r="Z9425" s="66"/>
    </row>
    <row r="9426" spans="23:26" x14ac:dyDescent="0.25">
      <c r="W9426" s="65"/>
      <c r="X9426" s="104"/>
      <c r="Y9426" s="54"/>
      <c r="Z9426" s="66"/>
    </row>
    <row r="9427" spans="23:26" x14ac:dyDescent="0.25">
      <c r="W9427" s="65"/>
      <c r="X9427" s="104"/>
      <c r="Y9427" s="54"/>
      <c r="Z9427" s="66"/>
    </row>
    <row r="9428" spans="23:26" x14ac:dyDescent="0.25">
      <c r="W9428" s="65"/>
      <c r="X9428" s="104"/>
      <c r="Y9428" s="54"/>
      <c r="Z9428" s="66"/>
    </row>
    <row r="9429" spans="23:26" x14ac:dyDescent="0.25">
      <c r="W9429" s="65"/>
      <c r="X9429" s="104"/>
      <c r="Y9429" s="54"/>
      <c r="Z9429" s="66"/>
    </row>
    <row r="9430" spans="23:26" x14ac:dyDescent="0.25">
      <c r="W9430" s="65"/>
      <c r="X9430" s="104"/>
      <c r="Y9430" s="54"/>
      <c r="Z9430" s="66"/>
    </row>
    <row r="9431" spans="23:26" x14ac:dyDescent="0.25">
      <c r="W9431" s="65"/>
      <c r="X9431" s="104"/>
      <c r="Y9431" s="54"/>
      <c r="Z9431" s="66"/>
    </row>
    <row r="9432" spans="23:26" x14ac:dyDescent="0.25">
      <c r="W9432" s="65"/>
      <c r="X9432" s="104"/>
      <c r="Y9432" s="54"/>
      <c r="Z9432" s="66"/>
    </row>
    <row r="9433" spans="23:26" x14ac:dyDescent="0.25">
      <c r="W9433" s="65"/>
      <c r="X9433" s="104"/>
      <c r="Y9433" s="54"/>
      <c r="Z9433" s="66"/>
    </row>
    <row r="9434" spans="23:26" x14ac:dyDescent="0.25">
      <c r="W9434" s="65"/>
      <c r="X9434" s="104"/>
      <c r="Y9434" s="54"/>
      <c r="Z9434" s="66"/>
    </row>
    <row r="9435" spans="23:26" x14ac:dyDescent="0.25">
      <c r="W9435" s="65"/>
      <c r="X9435" s="104"/>
      <c r="Y9435" s="54"/>
      <c r="Z9435" s="66"/>
    </row>
    <row r="9436" spans="23:26" x14ac:dyDescent="0.25">
      <c r="W9436" s="65"/>
      <c r="X9436" s="104"/>
      <c r="Y9436" s="54"/>
      <c r="Z9436" s="66"/>
    </row>
    <row r="9437" spans="23:26" x14ac:dyDescent="0.25">
      <c r="W9437" s="65"/>
      <c r="X9437" s="104"/>
      <c r="Y9437" s="54"/>
      <c r="Z9437" s="66"/>
    </row>
    <row r="9438" spans="23:26" x14ac:dyDescent="0.25">
      <c r="W9438" s="65"/>
      <c r="X9438" s="104"/>
      <c r="Y9438" s="54"/>
      <c r="Z9438" s="66"/>
    </row>
    <row r="9439" spans="23:26" x14ac:dyDescent="0.25">
      <c r="W9439" s="65"/>
      <c r="X9439" s="104"/>
      <c r="Y9439" s="54"/>
      <c r="Z9439" s="66"/>
    </row>
    <row r="9440" spans="23:26" x14ac:dyDescent="0.25">
      <c r="W9440" s="65"/>
      <c r="X9440" s="104"/>
      <c r="Y9440" s="54"/>
      <c r="Z9440" s="66"/>
    </row>
    <row r="9441" spans="23:26" x14ac:dyDescent="0.25">
      <c r="W9441" s="65"/>
      <c r="X9441" s="104"/>
      <c r="Y9441" s="54"/>
      <c r="Z9441" s="66"/>
    </row>
    <row r="9442" spans="23:26" x14ac:dyDescent="0.25">
      <c r="W9442" s="65"/>
      <c r="X9442" s="104"/>
      <c r="Y9442" s="54"/>
      <c r="Z9442" s="66"/>
    </row>
    <row r="9443" spans="23:26" x14ac:dyDescent="0.25">
      <c r="W9443" s="65"/>
      <c r="X9443" s="104"/>
      <c r="Y9443" s="54"/>
      <c r="Z9443" s="66"/>
    </row>
    <row r="9444" spans="23:26" x14ac:dyDescent="0.25">
      <c r="W9444" s="65"/>
      <c r="X9444" s="104"/>
      <c r="Y9444" s="54"/>
      <c r="Z9444" s="66"/>
    </row>
    <row r="9445" spans="23:26" x14ac:dyDescent="0.25">
      <c r="W9445" s="65"/>
      <c r="X9445" s="104"/>
      <c r="Y9445" s="54"/>
      <c r="Z9445" s="66"/>
    </row>
    <row r="9446" spans="23:26" x14ac:dyDescent="0.25">
      <c r="W9446" s="65"/>
      <c r="X9446" s="104"/>
      <c r="Y9446" s="54"/>
      <c r="Z9446" s="66"/>
    </row>
    <row r="9447" spans="23:26" x14ac:dyDescent="0.25">
      <c r="W9447" s="65"/>
      <c r="X9447" s="104"/>
      <c r="Y9447" s="54"/>
      <c r="Z9447" s="66"/>
    </row>
    <row r="9448" spans="23:26" x14ac:dyDescent="0.25">
      <c r="W9448" s="65"/>
      <c r="X9448" s="104"/>
      <c r="Y9448" s="54"/>
      <c r="Z9448" s="66"/>
    </row>
    <row r="9449" spans="23:26" x14ac:dyDescent="0.25">
      <c r="W9449" s="65"/>
      <c r="X9449" s="104"/>
      <c r="Y9449" s="54"/>
      <c r="Z9449" s="66"/>
    </row>
    <row r="9450" spans="23:26" x14ac:dyDescent="0.25">
      <c r="W9450" s="65"/>
      <c r="X9450" s="104"/>
      <c r="Y9450" s="54"/>
      <c r="Z9450" s="66"/>
    </row>
    <row r="9451" spans="23:26" x14ac:dyDescent="0.25">
      <c r="W9451" s="65"/>
      <c r="X9451" s="104"/>
      <c r="Y9451" s="54"/>
      <c r="Z9451" s="66"/>
    </row>
    <row r="9452" spans="23:26" x14ac:dyDescent="0.25">
      <c r="W9452" s="65"/>
      <c r="X9452" s="104"/>
      <c r="Y9452" s="54"/>
      <c r="Z9452" s="66"/>
    </row>
    <row r="9453" spans="23:26" x14ac:dyDescent="0.25">
      <c r="W9453" s="65"/>
      <c r="X9453" s="104"/>
      <c r="Y9453" s="54"/>
      <c r="Z9453" s="66"/>
    </row>
    <row r="9454" spans="23:26" x14ac:dyDescent="0.25">
      <c r="W9454" s="65"/>
      <c r="X9454" s="104"/>
      <c r="Y9454" s="54"/>
      <c r="Z9454" s="66"/>
    </row>
    <row r="9455" spans="23:26" x14ac:dyDescent="0.25">
      <c r="W9455" s="65"/>
      <c r="X9455" s="104"/>
      <c r="Y9455" s="54"/>
      <c r="Z9455" s="66"/>
    </row>
    <row r="9456" spans="23:26" x14ac:dyDescent="0.25">
      <c r="W9456" s="65"/>
      <c r="X9456" s="104"/>
      <c r="Y9456" s="54"/>
      <c r="Z9456" s="66"/>
    </row>
    <row r="9457" spans="23:26" x14ac:dyDescent="0.25">
      <c r="W9457" s="65"/>
      <c r="X9457" s="104"/>
      <c r="Y9457" s="54"/>
      <c r="Z9457" s="66"/>
    </row>
    <row r="9458" spans="23:26" x14ac:dyDescent="0.25">
      <c r="W9458" s="65"/>
      <c r="X9458" s="104"/>
      <c r="Y9458" s="54"/>
      <c r="Z9458" s="66"/>
    </row>
    <row r="9459" spans="23:26" x14ac:dyDescent="0.25">
      <c r="W9459" s="65"/>
      <c r="X9459" s="104"/>
      <c r="Y9459" s="54"/>
      <c r="Z9459" s="66"/>
    </row>
    <row r="9460" spans="23:26" x14ac:dyDescent="0.25">
      <c r="W9460" s="65"/>
      <c r="X9460" s="104"/>
      <c r="Y9460" s="54"/>
      <c r="Z9460" s="66"/>
    </row>
    <row r="9461" spans="23:26" x14ac:dyDescent="0.25">
      <c r="W9461" s="65"/>
      <c r="X9461" s="104"/>
      <c r="Y9461" s="54"/>
      <c r="Z9461" s="66"/>
    </row>
    <row r="9462" spans="23:26" x14ac:dyDescent="0.25">
      <c r="W9462" s="65"/>
      <c r="X9462" s="104"/>
      <c r="Y9462" s="54"/>
      <c r="Z9462" s="66"/>
    </row>
    <row r="9463" spans="23:26" x14ac:dyDescent="0.25">
      <c r="W9463" s="65"/>
      <c r="X9463" s="104"/>
      <c r="Y9463" s="54"/>
      <c r="Z9463" s="66"/>
    </row>
    <row r="9464" spans="23:26" x14ac:dyDescent="0.25">
      <c r="W9464" s="65"/>
      <c r="X9464" s="104"/>
      <c r="Y9464" s="54"/>
      <c r="Z9464" s="66"/>
    </row>
    <row r="9465" spans="23:26" x14ac:dyDescent="0.25">
      <c r="W9465" s="65"/>
      <c r="X9465" s="104"/>
      <c r="Y9465" s="54"/>
      <c r="Z9465" s="66"/>
    </row>
    <row r="9466" spans="23:26" x14ac:dyDescent="0.25">
      <c r="W9466" s="65"/>
      <c r="X9466" s="104"/>
      <c r="Y9466" s="54"/>
      <c r="Z9466" s="66"/>
    </row>
    <row r="9467" spans="23:26" x14ac:dyDescent="0.25">
      <c r="W9467" s="65"/>
      <c r="X9467" s="104"/>
      <c r="Y9467" s="54"/>
      <c r="Z9467" s="66"/>
    </row>
    <row r="9468" spans="23:26" x14ac:dyDescent="0.25">
      <c r="W9468" s="65"/>
      <c r="X9468" s="104"/>
      <c r="Y9468" s="54"/>
      <c r="Z9468" s="66"/>
    </row>
    <row r="9469" spans="23:26" x14ac:dyDescent="0.25">
      <c r="W9469" s="65"/>
      <c r="X9469" s="104"/>
      <c r="Y9469" s="54"/>
      <c r="Z9469" s="66"/>
    </row>
    <row r="9470" spans="23:26" x14ac:dyDescent="0.25">
      <c r="W9470" s="65"/>
      <c r="X9470" s="104"/>
      <c r="Y9470" s="54"/>
      <c r="Z9470" s="66"/>
    </row>
    <row r="9471" spans="23:26" x14ac:dyDescent="0.25">
      <c r="W9471" s="65"/>
      <c r="X9471" s="104"/>
      <c r="Y9471" s="54"/>
      <c r="Z9471" s="66"/>
    </row>
    <row r="9472" spans="23:26" x14ac:dyDescent="0.25">
      <c r="W9472" s="65"/>
      <c r="X9472" s="104"/>
      <c r="Y9472" s="54"/>
      <c r="Z9472" s="66"/>
    </row>
    <row r="9473" spans="23:26" x14ac:dyDescent="0.25">
      <c r="W9473" s="65"/>
      <c r="X9473" s="104"/>
      <c r="Y9473" s="54"/>
      <c r="Z9473" s="66"/>
    </row>
    <row r="9474" spans="23:26" x14ac:dyDescent="0.25">
      <c r="W9474" s="65"/>
      <c r="X9474" s="104"/>
      <c r="Y9474" s="54"/>
      <c r="Z9474" s="66"/>
    </row>
    <row r="9475" spans="23:26" x14ac:dyDescent="0.25">
      <c r="W9475" s="65"/>
      <c r="X9475" s="104"/>
      <c r="Y9475" s="54"/>
      <c r="Z9475" s="66"/>
    </row>
    <row r="9476" spans="23:26" x14ac:dyDescent="0.25">
      <c r="W9476" s="65"/>
      <c r="X9476" s="104"/>
      <c r="Y9476" s="54"/>
      <c r="Z9476" s="66"/>
    </row>
    <row r="9477" spans="23:26" x14ac:dyDescent="0.25">
      <c r="W9477" s="65"/>
      <c r="X9477" s="104"/>
      <c r="Y9477" s="54"/>
      <c r="Z9477" s="66"/>
    </row>
    <row r="9478" spans="23:26" x14ac:dyDescent="0.25">
      <c r="W9478" s="65"/>
      <c r="X9478" s="104"/>
      <c r="Y9478" s="54"/>
      <c r="Z9478" s="66"/>
    </row>
    <row r="9479" spans="23:26" x14ac:dyDescent="0.25">
      <c r="W9479" s="65"/>
      <c r="X9479" s="104"/>
      <c r="Y9479" s="54"/>
      <c r="Z9479" s="66"/>
    </row>
    <row r="9480" spans="23:26" x14ac:dyDescent="0.25">
      <c r="W9480" s="65"/>
      <c r="X9480" s="104"/>
      <c r="Y9480" s="54"/>
      <c r="Z9480" s="66"/>
    </row>
    <row r="9481" spans="23:26" x14ac:dyDescent="0.25">
      <c r="W9481" s="65"/>
      <c r="X9481" s="104"/>
      <c r="Y9481" s="54"/>
      <c r="Z9481" s="66"/>
    </row>
    <row r="9482" spans="23:26" x14ac:dyDescent="0.25">
      <c r="W9482" s="65"/>
      <c r="X9482" s="104"/>
      <c r="Y9482" s="54"/>
      <c r="Z9482" s="66"/>
    </row>
    <row r="9483" spans="23:26" x14ac:dyDescent="0.25">
      <c r="W9483" s="65"/>
      <c r="X9483" s="104"/>
      <c r="Y9483" s="54"/>
      <c r="Z9483" s="66"/>
    </row>
    <row r="9484" spans="23:26" x14ac:dyDescent="0.25">
      <c r="W9484" s="65"/>
      <c r="X9484" s="104"/>
      <c r="Y9484" s="54"/>
      <c r="Z9484" s="66"/>
    </row>
    <row r="9485" spans="23:26" x14ac:dyDescent="0.25">
      <c r="W9485" s="65"/>
      <c r="X9485" s="104"/>
      <c r="Y9485" s="54"/>
      <c r="Z9485" s="66"/>
    </row>
    <row r="9486" spans="23:26" x14ac:dyDescent="0.25">
      <c r="W9486" s="65"/>
      <c r="X9486" s="104"/>
      <c r="Y9486" s="54"/>
      <c r="Z9486" s="66"/>
    </row>
    <row r="9487" spans="23:26" x14ac:dyDescent="0.25">
      <c r="W9487" s="65"/>
      <c r="X9487" s="104"/>
      <c r="Y9487" s="54"/>
      <c r="Z9487" s="66"/>
    </row>
    <row r="9488" spans="23:26" x14ac:dyDescent="0.25">
      <c r="W9488" s="65"/>
      <c r="X9488" s="104"/>
      <c r="Y9488" s="54"/>
      <c r="Z9488" s="66"/>
    </row>
    <row r="9489" spans="23:26" x14ac:dyDescent="0.25">
      <c r="W9489" s="65"/>
      <c r="X9489" s="104"/>
      <c r="Y9489" s="54"/>
      <c r="Z9489" s="66"/>
    </row>
    <row r="9490" spans="23:26" x14ac:dyDescent="0.25">
      <c r="W9490" s="65"/>
      <c r="X9490" s="104"/>
      <c r="Y9490" s="54"/>
      <c r="Z9490" s="66"/>
    </row>
    <row r="9491" spans="23:26" x14ac:dyDescent="0.25">
      <c r="W9491" s="65"/>
      <c r="X9491" s="104"/>
      <c r="Y9491" s="54"/>
      <c r="Z9491" s="66"/>
    </row>
    <row r="9492" spans="23:26" x14ac:dyDescent="0.25">
      <c r="W9492" s="65"/>
      <c r="X9492" s="104"/>
      <c r="Y9492" s="54"/>
      <c r="Z9492" s="66"/>
    </row>
    <row r="9493" spans="23:26" x14ac:dyDescent="0.25">
      <c r="W9493" s="65"/>
      <c r="X9493" s="104"/>
      <c r="Y9493" s="54"/>
      <c r="Z9493" s="66"/>
    </row>
    <row r="9494" spans="23:26" x14ac:dyDescent="0.25">
      <c r="W9494" s="65"/>
      <c r="X9494" s="104"/>
      <c r="Y9494" s="54"/>
      <c r="Z9494" s="66"/>
    </row>
    <row r="9495" spans="23:26" x14ac:dyDescent="0.25">
      <c r="W9495" s="65"/>
      <c r="X9495" s="104"/>
      <c r="Y9495" s="54"/>
      <c r="Z9495" s="66"/>
    </row>
    <row r="9496" spans="23:26" x14ac:dyDescent="0.25">
      <c r="W9496" s="65"/>
      <c r="X9496" s="104"/>
      <c r="Y9496" s="54"/>
      <c r="Z9496" s="66"/>
    </row>
    <row r="9497" spans="23:26" x14ac:dyDescent="0.25">
      <c r="W9497" s="65"/>
      <c r="X9497" s="104"/>
      <c r="Y9497" s="54"/>
      <c r="Z9497" s="66"/>
    </row>
    <row r="9498" spans="23:26" x14ac:dyDescent="0.25">
      <c r="W9498" s="65"/>
      <c r="X9498" s="104"/>
      <c r="Y9498" s="54"/>
      <c r="Z9498" s="66"/>
    </row>
    <row r="9499" spans="23:26" x14ac:dyDescent="0.25">
      <c r="W9499" s="65"/>
      <c r="X9499" s="104"/>
      <c r="Y9499" s="54"/>
      <c r="Z9499" s="66"/>
    </row>
    <row r="9500" spans="23:26" x14ac:dyDescent="0.25">
      <c r="W9500" s="65"/>
      <c r="X9500" s="104"/>
      <c r="Y9500" s="54"/>
      <c r="Z9500" s="66"/>
    </row>
    <row r="9501" spans="23:26" x14ac:dyDescent="0.25">
      <c r="W9501" s="65"/>
      <c r="X9501" s="104"/>
      <c r="Y9501" s="54"/>
      <c r="Z9501" s="66"/>
    </row>
    <row r="9502" spans="23:26" x14ac:dyDescent="0.25">
      <c r="W9502" s="65"/>
      <c r="X9502" s="104"/>
      <c r="Y9502" s="54"/>
      <c r="Z9502" s="66"/>
    </row>
    <row r="9503" spans="23:26" x14ac:dyDescent="0.25">
      <c r="W9503" s="65"/>
      <c r="X9503" s="104"/>
      <c r="Y9503" s="54"/>
      <c r="Z9503" s="66"/>
    </row>
    <row r="9504" spans="23:26" x14ac:dyDescent="0.25">
      <c r="W9504" s="65"/>
      <c r="X9504" s="104"/>
      <c r="Y9504" s="54"/>
      <c r="Z9504" s="66"/>
    </row>
    <row r="9505" spans="23:26" x14ac:dyDescent="0.25">
      <c r="W9505" s="65"/>
      <c r="X9505" s="104"/>
      <c r="Y9505" s="54"/>
      <c r="Z9505" s="66"/>
    </row>
    <row r="9506" spans="23:26" x14ac:dyDescent="0.25">
      <c r="W9506" s="65"/>
      <c r="X9506" s="104"/>
      <c r="Y9506" s="54"/>
      <c r="Z9506" s="66"/>
    </row>
    <row r="9507" spans="23:26" x14ac:dyDescent="0.25">
      <c r="W9507" s="65"/>
      <c r="X9507" s="104"/>
      <c r="Y9507" s="54"/>
      <c r="Z9507" s="66"/>
    </row>
    <row r="9508" spans="23:26" x14ac:dyDescent="0.25">
      <c r="W9508" s="65"/>
      <c r="X9508" s="104"/>
      <c r="Y9508" s="54"/>
      <c r="Z9508" s="66"/>
    </row>
    <row r="9509" spans="23:26" x14ac:dyDescent="0.25">
      <c r="W9509" s="65"/>
      <c r="X9509" s="104"/>
      <c r="Y9509" s="54"/>
      <c r="Z9509" s="66"/>
    </row>
    <row r="9510" spans="23:26" x14ac:dyDescent="0.25">
      <c r="W9510" s="65"/>
      <c r="X9510" s="104"/>
      <c r="Y9510" s="54"/>
      <c r="Z9510" s="66"/>
    </row>
    <row r="9511" spans="23:26" x14ac:dyDescent="0.25">
      <c r="W9511" s="65"/>
      <c r="X9511" s="104"/>
      <c r="Y9511" s="54"/>
      <c r="Z9511" s="66"/>
    </row>
    <row r="9512" spans="23:26" x14ac:dyDescent="0.25">
      <c r="W9512" s="65"/>
      <c r="X9512" s="104"/>
      <c r="Y9512" s="54"/>
      <c r="Z9512" s="66"/>
    </row>
    <row r="9513" spans="23:26" x14ac:dyDescent="0.25">
      <c r="W9513" s="65"/>
      <c r="X9513" s="104"/>
      <c r="Y9513" s="54"/>
      <c r="Z9513" s="66"/>
    </row>
    <row r="9514" spans="23:26" x14ac:dyDescent="0.25">
      <c r="W9514" s="65"/>
      <c r="X9514" s="104"/>
      <c r="Y9514" s="54"/>
      <c r="Z9514" s="66"/>
    </row>
    <row r="9515" spans="23:26" x14ac:dyDescent="0.25">
      <c r="W9515" s="65"/>
      <c r="X9515" s="104"/>
      <c r="Y9515" s="54"/>
      <c r="Z9515" s="66"/>
    </row>
    <row r="9516" spans="23:26" x14ac:dyDescent="0.25">
      <c r="W9516" s="65"/>
      <c r="X9516" s="104"/>
      <c r="Y9516" s="54"/>
      <c r="Z9516" s="66"/>
    </row>
    <row r="9517" spans="23:26" x14ac:dyDescent="0.25">
      <c r="W9517" s="65"/>
      <c r="X9517" s="104"/>
      <c r="Y9517" s="54"/>
      <c r="Z9517" s="66"/>
    </row>
    <row r="9518" spans="23:26" x14ac:dyDescent="0.25">
      <c r="W9518" s="65"/>
      <c r="X9518" s="104"/>
      <c r="Y9518" s="54"/>
      <c r="Z9518" s="66"/>
    </row>
    <row r="9519" spans="23:26" x14ac:dyDescent="0.25">
      <c r="W9519" s="65"/>
      <c r="X9519" s="104"/>
      <c r="Y9519" s="54"/>
      <c r="Z9519" s="66"/>
    </row>
    <row r="9520" spans="23:26" x14ac:dyDescent="0.25">
      <c r="W9520" s="65"/>
      <c r="X9520" s="104"/>
      <c r="Y9520" s="54"/>
      <c r="Z9520" s="66"/>
    </row>
    <row r="9521" spans="23:26" x14ac:dyDescent="0.25">
      <c r="W9521" s="65"/>
      <c r="X9521" s="104"/>
      <c r="Y9521" s="54"/>
      <c r="Z9521" s="66"/>
    </row>
    <row r="9522" spans="23:26" x14ac:dyDescent="0.25">
      <c r="W9522" s="65"/>
      <c r="X9522" s="104"/>
      <c r="Y9522" s="54"/>
      <c r="Z9522" s="66"/>
    </row>
    <row r="9523" spans="23:26" x14ac:dyDescent="0.25">
      <c r="W9523" s="65"/>
      <c r="X9523" s="104"/>
      <c r="Y9523" s="54"/>
      <c r="Z9523" s="66"/>
    </row>
    <row r="9524" spans="23:26" x14ac:dyDescent="0.25">
      <c r="W9524" s="65"/>
      <c r="X9524" s="104"/>
      <c r="Y9524" s="54"/>
      <c r="Z9524" s="66"/>
    </row>
    <row r="9525" spans="23:26" x14ac:dyDescent="0.25">
      <c r="W9525" s="65"/>
      <c r="X9525" s="104"/>
      <c r="Y9525" s="54"/>
      <c r="Z9525" s="66"/>
    </row>
    <row r="9526" spans="23:26" x14ac:dyDescent="0.25">
      <c r="W9526" s="65"/>
      <c r="X9526" s="104"/>
      <c r="Y9526" s="54"/>
      <c r="Z9526" s="66"/>
    </row>
    <row r="9527" spans="23:26" x14ac:dyDescent="0.25">
      <c r="W9527" s="65"/>
      <c r="X9527" s="104"/>
      <c r="Y9527" s="54"/>
      <c r="Z9527" s="66"/>
    </row>
    <row r="9528" spans="23:26" x14ac:dyDescent="0.25">
      <c r="W9528" s="65"/>
      <c r="X9528" s="104"/>
      <c r="Y9528" s="54"/>
      <c r="Z9528" s="66"/>
    </row>
    <row r="9529" spans="23:26" x14ac:dyDescent="0.25">
      <c r="W9529" s="65"/>
      <c r="X9529" s="104"/>
      <c r="Y9529" s="54"/>
      <c r="Z9529" s="66"/>
    </row>
    <row r="9530" spans="23:26" x14ac:dyDescent="0.25">
      <c r="W9530" s="65"/>
      <c r="X9530" s="104"/>
      <c r="Y9530" s="54"/>
      <c r="Z9530" s="66"/>
    </row>
    <row r="9531" spans="23:26" x14ac:dyDescent="0.25">
      <c r="W9531" s="65"/>
      <c r="X9531" s="104"/>
      <c r="Y9531" s="54"/>
      <c r="Z9531" s="66"/>
    </row>
    <row r="9532" spans="23:26" x14ac:dyDescent="0.25">
      <c r="W9532" s="65"/>
      <c r="X9532" s="104"/>
      <c r="Y9532" s="54"/>
      <c r="Z9532" s="66"/>
    </row>
    <row r="9533" spans="23:26" x14ac:dyDescent="0.25">
      <c r="W9533" s="65"/>
      <c r="X9533" s="104"/>
      <c r="Y9533" s="54"/>
      <c r="Z9533" s="66"/>
    </row>
    <row r="9534" spans="23:26" x14ac:dyDescent="0.25">
      <c r="W9534" s="65"/>
      <c r="X9534" s="104"/>
      <c r="Y9534" s="54"/>
      <c r="Z9534" s="66"/>
    </row>
    <row r="9535" spans="23:26" x14ac:dyDescent="0.25">
      <c r="W9535" s="65"/>
      <c r="X9535" s="104"/>
      <c r="Y9535" s="54"/>
      <c r="Z9535" s="66"/>
    </row>
    <row r="9536" spans="23:26" x14ac:dyDescent="0.25">
      <c r="W9536" s="65"/>
      <c r="X9536" s="104"/>
      <c r="Y9536" s="54"/>
      <c r="Z9536" s="66"/>
    </row>
    <row r="9537" spans="23:26" x14ac:dyDescent="0.25">
      <c r="W9537" s="65"/>
      <c r="X9537" s="104"/>
      <c r="Y9537" s="54"/>
      <c r="Z9537" s="66"/>
    </row>
    <row r="9538" spans="23:26" x14ac:dyDescent="0.25">
      <c r="W9538" s="65"/>
      <c r="X9538" s="104"/>
      <c r="Y9538" s="54"/>
      <c r="Z9538" s="66"/>
    </row>
    <row r="9539" spans="23:26" x14ac:dyDescent="0.25">
      <c r="W9539" s="65"/>
      <c r="X9539" s="104"/>
      <c r="Y9539" s="54"/>
      <c r="Z9539" s="66"/>
    </row>
    <row r="9540" spans="23:26" x14ac:dyDescent="0.25">
      <c r="W9540" s="65"/>
      <c r="X9540" s="104"/>
      <c r="Y9540" s="54"/>
      <c r="Z9540" s="66"/>
    </row>
    <row r="9541" spans="23:26" x14ac:dyDescent="0.25">
      <c r="W9541" s="65"/>
      <c r="X9541" s="104"/>
      <c r="Y9541" s="54"/>
      <c r="Z9541" s="66"/>
    </row>
    <row r="9542" spans="23:26" x14ac:dyDescent="0.25">
      <c r="W9542" s="65"/>
      <c r="X9542" s="104"/>
      <c r="Y9542" s="54"/>
      <c r="Z9542" s="66"/>
    </row>
    <row r="9543" spans="23:26" x14ac:dyDescent="0.25">
      <c r="W9543" s="65"/>
      <c r="X9543" s="104"/>
      <c r="Y9543" s="54"/>
      <c r="Z9543" s="66"/>
    </row>
    <row r="9544" spans="23:26" x14ac:dyDescent="0.25">
      <c r="W9544" s="65"/>
      <c r="X9544" s="104"/>
      <c r="Y9544" s="54"/>
      <c r="Z9544" s="66"/>
    </row>
    <row r="9545" spans="23:26" x14ac:dyDescent="0.25">
      <c r="W9545" s="65"/>
      <c r="X9545" s="104"/>
      <c r="Y9545" s="54"/>
      <c r="Z9545" s="66"/>
    </row>
    <row r="9546" spans="23:26" x14ac:dyDescent="0.25">
      <c r="W9546" s="65"/>
      <c r="X9546" s="104"/>
      <c r="Y9546" s="54"/>
      <c r="Z9546" s="66"/>
    </row>
    <row r="9547" spans="23:26" x14ac:dyDescent="0.25">
      <c r="W9547" s="65"/>
      <c r="X9547" s="104"/>
      <c r="Y9547" s="54"/>
      <c r="Z9547" s="66"/>
    </row>
    <row r="9548" spans="23:26" x14ac:dyDescent="0.25">
      <c r="W9548" s="65"/>
      <c r="X9548" s="104"/>
      <c r="Y9548" s="54"/>
      <c r="Z9548" s="66"/>
    </row>
    <row r="9549" spans="23:26" x14ac:dyDescent="0.25">
      <c r="W9549" s="65"/>
      <c r="X9549" s="104"/>
      <c r="Y9549" s="54"/>
      <c r="Z9549" s="66"/>
    </row>
    <row r="9550" spans="23:26" x14ac:dyDescent="0.25">
      <c r="W9550" s="65"/>
      <c r="X9550" s="104"/>
      <c r="Y9550" s="54"/>
      <c r="Z9550" s="66"/>
    </row>
    <row r="9551" spans="23:26" x14ac:dyDescent="0.25">
      <c r="W9551" s="65"/>
      <c r="X9551" s="104"/>
      <c r="Y9551" s="54"/>
      <c r="Z9551" s="66"/>
    </row>
    <row r="9552" spans="23:26" x14ac:dyDescent="0.25">
      <c r="W9552" s="65"/>
      <c r="X9552" s="104"/>
      <c r="Y9552" s="54"/>
      <c r="Z9552" s="66"/>
    </row>
    <row r="9553" spans="23:26" x14ac:dyDescent="0.25">
      <c r="W9553" s="65"/>
      <c r="X9553" s="104"/>
      <c r="Y9553" s="54"/>
      <c r="Z9553" s="66"/>
    </row>
    <row r="9554" spans="23:26" x14ac:dyDescent="0.25">
      <c r="W9554" s="65"/>
      <c r="X9554" s="104"/>
      <c r="Y9554" s="54"/>
      <c r="Z9554" s="66"/>
    </row>
    <row r="9555" spans="23:26" x14ac:dyDescent="0.25">
      <c r="W9555" s="65"/>
      <c r="X9555" s="104"/>
      <c r="Y9555" s="54"/>
      <c r="Z9555" s="66"/>
    </row>
    <row r="9556" spans="23:26" x14ac:dyDescent="0.25">
      <c r="W9556" s="65"/>
      <c r="X9556" s="104"/>
      <c r="Y9556" s="54"/>
      <c r="Z9556" s="66"/>
    </row>
    <row r="9557" spans="23:26" x14ac:dyDescent="0.25">
      <c r="W9557" s="65"/>
      <c r="X9557" s="104"/>
      <c r="Y9557" s="54"/>
      <c r="Z9557" s="66"/>
    </row>
    <row r="9558" spans="23:26" x14ac:dyDescent="0.25">
      <c r="W9558" s="65"/>
      <c r="X9558" s="104"/>
      <c r="Y9558" s="54"/>
      <c r="Z9558" s="66"/>
    </row>
    <row r="9559" spans="23:26" x14ac:dyDescent="0.25">
      <c r="W9559" s="65"/>
      <c r="X9559" s="104"/>
      <c r="Y9559" s="54"/>
      <c r="Z9559" s="66"/>
    </row>
    <row r="9560" spans="23:26" x14ac:dyDescent="0.25">
      <c r="W9560" s="65"/>
      <c r="X9560" s="104"/>
      <c r="Y9560" s="54"/>
      <c r="Z9560" s="66"/>
    </row>
    <row r="9561" spans="23:26" x14ac:dyDescent="0.25">
      <c r="W9561" s="65"/>
      <c r="X9561" s="104"/>
      <c r="Y9561" s="54"/>
      <c r="Z9561" s="66"/>
    </row>
    <row r="9562" spans="23:26" x14ac:dyDescent="0.25">
      <c r="W9562" s="65"/>
      <c r="X9562" s="104"/>
      <c r="Y9562" s="54"/>
      <c r="Z9562" s="66"/>
    </row>
    <row r="9563" spans="23:26" x14ac:dyDescent="0.25">
      <c r="W9563" s="65"/>
      <c r="X9563" s="104"/>
      <c r="Y9563" s="54"/>
      <c r="Z9563" s="66"/>
    </row>
    <row r="9564" spans="23:26" x14ac:dyDescent="0.25">
      <c r="W9564" s="65"/>
      <c r="X9564" s="104"/>
      <c r="Y9564" s="54"/>
      <c r="Z9564" s="66"/>
    </row>
    <row r="9565" spans="23:26" x14ac:dyDescent="0.25">
      <c r="W9565" s="65"/>
      <c r="X9565" s="104"/>
      <c r="Y9565" s="54"/>
      <c r="Z9565" s="66"/>
    </row>
    <row r="9566" spans="23:26" x14ac:dyDescent="0.25">
      <c r="W9566" s="65"/>
      <c r="X9566" s="104"/>
      <c r="Y9566" s="54"/>
      <c r="Z9566" s="66"/>
    </row>
    <row r="9567" spans="23:26" x14ac:dyDescent="0.25">
      <c r="W9567" s="65"/>
      <c r="X9567" s="104"/>
      <c r="Y9567" s="54"/>
      <c r="Z9567" s="66"/>
    </row>
    <row r="9568" spans="23:26" x14ac:dyDescent="0.25">
      <c r="W9568" s="65"/>
      <c r="X9568" s="104"/>
      <c r="Y9568" s="54"/>
      <c r="Z9568" s="66"/>
    </row>
    <row r="9569" spans="23:26" x14ac:dyDescent="0.25">
      <c r="W9569" s="65"/>
      <c r="X9569" s="104"/>
      <c r="Y9569" s="54"/>
      <c r="Z9569" s="66"/>
    </row>
    <row r="9570" spans="23:26" x14ac:dyDescent="0.25">
      <c r="W9570" s="65"/>
      <c r="X9570" s="104"/>
      <c r="Y9570" s="54"/>
      <c r="Z9570" s="66"/>
    </row>
    <row r="9571" spans="23:26" x14ac:dyDescent="0.25">
      <c r="W9571" s="65"/>
      <c r="X9571" s="104"/>
      <c r="Y9571" s="54"/>
      <c r="Z9571" s="66"/>
    </row>
    <row r="9572" spans="23:26" x14ac:dyDescent="0.25">
      <c r="W9572" s="65"/>
      <c r="X9572" s="104"/>
      <c r="Y9572" s="54"/>
      <c r="Z9572" s="66"/>
    </row>
    <row r="9573" spans="23:26" x14ac:dyDescent="0.25">
      <c r="W9573" s="65"/>
      <c r="X9573" s="104"/>
      <c r="Y9573" s="54"/>
      <c r="Z9573" s="66"/>
    </row>
    <row r="9574" spans="23:26" x14ac:dyDescent="0.25">
      <c r="W9574" s="65"/>
      <c r="X9574" s="104"/>
      <c r="Y9574" s="54"/>
      <c r="Z9574" s="66"/>
    </row>
    <row r="9575" spans="23:26" x14ac:dyDescent="0.25">
      <c r="W9575" s="65"/>
      <c r="X9575" s="104"/>
      <c r="Y9575" s="54"/>
      <c r="Z9575" s="66"/>
    </row>
    <row r="9576" spans="23:26" x14ac:dyDescent="0.25">
      <c r="W9576" s="65"/>
      <c r="X9576" s="104"/>
      <c r="Y9576" s="54"/>
      <c r="Z9576" s="66"/>
    </row>
    <row r="9577" spans="23:26" x14ac:dyDescent="0.25">
      <c r="W9577" s="65"/>
      <c r="X9577" s="104"/>
      <c r="Y9577" s="54"/>
      <c r="Z9577" s="66"/>
    </row>
    <row r="9578" spans="23:26" x14ac:dyDescent="0.25">
      <c r="W9578" s="65"/>
      <c r="X9578" s="104"/>
      <c r="Y9578" s="54"/>
      <c r="Z9578" s="66"/>
    </row>
    <row r="9579" spans="23:26" x14ac:dyDescent="0.25">
      <c r="W9579" s="65"/>
      <c r="X9579" s="104"/>
      <c r="Y9579" s="54"/>
      <c r="Z9579" s="66"/>
    </row>
    <row r="9580" spans="23:26" x14ac:dyDescent="0.25">
      <c r="W9580" s="65"/>
      <c r="X9580" s="104"/>
      <c r="Y9580" s="54"/>
      <c r="Z9580" s="66"/>
    </row>
    <row r="9581" spans="23:26" x14ac:dyDescent="0.25">
      <c r="W9581" s="65"/>
      <c r="X9581" s="104"/>
      <c r="Y9581" s="54"/>
      <c r="Z9581" s="66"/>
    </row>
    <row r="9582" spans="23:26" x14ac:dyDescent="0.25">
      <c r="W9582" s="65"/>
      <c r="X9582" s="104"/>
      <c r="Y9582" s="54"/>
      <c r="Z9582" s="66"/>
    </row>
    <row r="9583" spans="23:26" x14ac:dyDescent="0.25">
      <c r="W9583" s="65"/>
      <c r="X9583" s="104"/>
      <c r="Y9583" s="54"/>
      <c r="Z9583" s="66"/>
    </row>
    <row r="9584" spans="23:26" x14ac:dyDescent="0.25">
      <c r="W9584" s="65"/>
      <c r="X9584" s="104"/>
      <c r="Y9584" s="54"/>
      <c r="Z9584" s="66"/>
    </row>
    <row r="9585" spans="23:26" x14ac:dyDescent="0.25">
      <c r="W9585" s="65"/>
      <c r="X9585" s="104"/>
      <c r="Y9585" s="54"/>
      <c r="Z9585" s="66"/>
    </row>
    <row r="9586" spans="23:26" x14ac:dyDescent="0.25">
      <c r="W9586" s="65"/>
      <c r="X9586" s="104"/>
      <c r="Y9586" s="54"/>
      <c r="Z9586" s="66"/>
    </row>
    <row r="9587" spans="23:26" x14ac:dyDescent="0.25">
      <c r="W9587" s="65"/>
      <c r="X9587" s="104"/>
      <c r="Y9587" s="54"/>
      <c r="Z9587" s="66"/>
    </row>
    <row r="9588" spans="23:26" x14ac:dyDescent="0.25">
      <c r="W9588" s="65"/>
      <c r="X9588" s="104"/>
      <c r="Y9588" s="54"/>
      <c r="Z9588" s="66"/>
    </row>
    <row r="9589" spans="23:26" x14ac:dyDescent="0.25">
      <c r="W9589" s="65"/>
      <c r="X9589" s="104"/>
      <c r="Y9589" s="54"/>
      <c r="Z9589" s="66"/>
    </row>
    <row r="9590" spans="23:26" x14ac:dyDescent="0.25">
      <c r="W9590" s="65"/>
      <c r="X9590" s="104"/>
      <c r="Y9590" s="54"/>
      <c r="Z9590" s="66"/>
    </row>
    <row r="9591" spans="23:26" x14ac:dyDescent="0.25">
      <c r="W9591" s="65"/>
      <c r="X9591" s="104"/>
      <c r="Y9591" s="54"/>
      <c r="Z9591" s="66"/>
    </row>
    <row r="9592" spans="23:26" x14ac:dyDescent="0.25">
      <c r="W9592" s="65"/>
      <c r="X9592" s="104"/>
      <c r="Y9592" s="54"/>
      <c r="Z9592" s="66"/>
    </row>
    <row r="9593" spans="23:26" x14ac:dyDescent="0.25">
      <c r="W9593" s="65"/>
      <c r="X9593" s="104"/>
      <c r="Y9593" s="54"/>
      <c r="Z9593" s="66"/>
    </row>
    <row r="9594" spans="23:26" x14ac:dyDescent="0.25">
      <c r="W9594" s="65"/>
      <c r="X9594" s="104"/>
      <c r="Y9594" s="54"/>
      <c r="Z9594" s="66"/>
    </row>
    <row r="9595" spans="23:26" x14ac:dyDescent="0.25">
      <c r="W9595" s="65"/>
      <c r="X9595" s="104"/>
      <c r="Y9595" s="54"/>
      <c r="Z9595" s="66"/>
    </row>
    <row r="9596" spans="23:26" x14ac:dyDescent="0.25">
      <c r="W9596" s="65"/>
      <c r="X9596" s="104"/>
      <c r="Y9596" s="54"/>
      <c r="Z9596" s="66"/>
    </row>
    <row r="9597" spans="23:26" x14ac:dyDescent="0.25">
      <c r="W9597" s="65"/>
      <c r="X9597" s="104"/>
      <c r="Y9597" s="54"/>
      <c r="Z9597" s="66"/>
    </row>
    <row r="9598" spans="23:26" x14ac:dyDescent="0.25">
      <c r="W9598" s="65"/>
      <c r="X9598" s="104"/>
      <c r="Y9598" s="54"/>
      <c r="Z9598" s="66"/>
    </row>
    <row r="9599" spans="23:26" x14ac:dyDescent="0.25">
      <c r="W9599" s="65"/>
      <c r="X9599" s="104"/>
      <c r="Y9599" s="54"/>
      <c r="Z9599" s="66"/>
    </row>
    <row r="9600" spans="23:26" x14ac:dyDescent="0.25">
      <c r="W9600" s="65"/>
      <c r="X9600" s="104"/>
      <c r="Y9600" s="54"/>
      <c r="Z9600" s="66"/>
    </row>
    <row r="9601" spans="23:26" x14ac:dyDescent="0.25">
      <c r="W9601" s="65"/>
      <c r="X9601" s="104"/>
      <c r="Y9601" s="54"/>
      <c r="Z9601" s="66"/>
    </row>
    <row r="9602" spans="23:26" x14ac:dyDescent="0.25">
      <c r="W9602" s="65"/>
      <c r="X9602" s="104"/>
      <c r="Y9602" s="54"/>
      <c r="Z9602" s="66"/>
    </row>
    <row r="9603" spans="23:26" x14ac:dyDescent="0.25">
      <c r="W9603" s="65"/>
      <c r="X9603" s="104"/>
      <c r="Y9603" s="54"/>
      <c r="Z9603" s="66"/>
    </row>
    <row r="9604" spans="23:26" x14ac:dyDescent="0.25">
      <c r="W9604" s="65"/>
      <c r="X9604" s="104"/>
      <c r="Y9604" s="54"/>
      <c r="Z9604" s="66"/>
    </row>
    <row r="9605" spans="23:26" x14ac:dyDescent="0.25">
      <c r="W9605" s="65"/>
      <c r="X9605" s="104"/>
      <c r="Y9605" s="54"/>
      <c r="Z9605" s="66"/>
    </row>
    <row r="9606" spans="23:26" x14ac:dyDescent="0.25">
      <c r="W9606" s="65"/>
      <c r="X9606" s="104"/>
      <c r="Y9606" s="54"/>
      <c r="Z9606" s="66"/>
    </row>
    <row r="9607" spans="23:26" x14ac:dyDescent="0.25">
      <c r="W9607" s="65"/>
      <c r="X9607" s="104"/>
      <c r="Y9607" s="54"/>
      <c r="Z9607" s="66"/>
    </row>
    <row r="9608" spans="23:26" x14ac:dyDescent="0.25">
      <c r="W9608" s="65"/>
      <c r="X9608" s="104"/>
      <c r="Y9608" s="54"/>
      <c r="Z9608" s="66"/>
    </row>
    <row r="9609" spans="23:26" x14ac:dyDescent="0.25">
      <c r="W9609" s="65"/>
      <c r="X9609" s="104"/>
      <c r="Y9609" s="54"/>
      <c r="Z9609" s="66"/>
    </row>
    <row r="9610" spans="23:26" x14ac:dyDescent="0.25">
      <c r="W9610" s="65"/>
      <c r="X9610" s="104"/>
      <c r="Y9610" s="54"/>
      <c r="Z9610" s="66"/>
    </row>
    <row r="9611" spans="23:26" x14ac:dyDescent="0.25">
      <c r="W9611" s="65"/>
      <c r="X9611" s="104"/>
      <c r="Y9611" s="54"/>
      <c r="Z9611" s="66"/>
    </row>
    <row r="9612" spans="23:26" x14ac:dyDescent="0.25">
      <c r="W9612" s="65"/>
      <c r="X9612" s="104"/>
      <c r="Y9612" s="54"/>
      <c r="Z9612" s="66"/>
    </row>
    <row r="9613" spans="23:26" x14ac:dyDescent="0.25">
      <c r="W9613" s="65"/>
      <c r="X9613" s="104"/>
      <c r="Y9613" s="54"/>
      <c r="Z9613" s="66"/>
    </row>
    <row r="9614" spans="23:26" x14ac:dyDescent="0.25">
      <c r="W9614" s="65"/>
      <c r="X9614" s="104"/>
      <c r="Y9614" s="54"/>
      <c r="Z9614" s="66"/>
    </row>
    <row r="9615" spans="23:26" x14ac:dyDescent="0.25">
      <c r="W9615" s="65"/>
      <c r="X9615" s="104"/>
      <c r="Y9615" s="54"/>
      <c r="Z9615" s="66"/>
    </row>
    <row r="9616" spans="23:26" x14ac:dyDescent="0.25">
      <c r="W9616" s="65"/>
      <c r="X9616" s="104"/>
      <c r="Y9616" s="54"/>
      <c r="Z9616" s="66"/>
    </row>
    <row r="9617" spans="23:26" x14ac:dyDescent="0.25">
      <c r="W9617" s="65"/>
      <c r="X9617" s="104"/>
      <c r="Y9617" s="54"/>
      <c r="Z9617" s="66"/>
    </row>
    <row r="9618" spans="23:26" x14ac:dyDescent="0.25">
      <c r="W9618" s="65"/>
      <c r="X9618" s="104"/>
      <c r="Y9618" s="54"/>
      <c r="Z9618" s="66"/>
    </row>
    <row r="9619" spans="23:26" x14ac:dyDescent="0.25">
      <c r="W9619" s="65"/>
      <c r="X9619" s="104"/>
      <c r="Y9619" s="54"/>
      <c r="Z9619" s="66"/>
    </row>
    <row r="9620" spans="23:26" x14ac:dyDescent="0.25">
      <c r="W9620" s="65"/>
      <c r="X9620" s="104"/>
      <c r="Y9620" s="54"/>
      <c r="Z9620" s="66"/>
    </row>
    <row r="9621" spans="23:26" x14ac:dyDescent="0.25">
      <c r="W9621" s="65"/>
      <c r="X9621" s="104"/>
      <c r="Y9621" s="54"/>
      <c r="Z9621" s="66"/>
    </row>
    <row r="9622" spans="23:26" x14ac:dyDescent="0.25">
      <c r="W9622" s="65"/>
      <c r="X9622" s="104"/>
      <c r="Y9622" s="54"/>
      <c r="Z9622" s="66"/>
    </row>
    <row r="9623" spans="23:26" x14ac:dyDescent="0.25">
      <c r="W9623" s="65"/>
      <c r="X9623" s="104"/>
      <c r="Y9623" s="54"/>
      <c r="Z9623" s="66"/>
    </row>
    <row r="9624" spans="23:26" x14ac:dyDescent="0.25">
      <c r="W9624" s="65"/>
      <c r="X9624" s="104"/>
      <c r="Y9624" s="54"/>
      <c r="Z9624" s="66"/>
    </row>
    <row r="9625" spans="23:26" x14ac:dyDescent="0.25">
      <c r="W9625" s="65"/>
      <c r="X9625" s="104"/>
      <c r="Y9625" s="54"/>
      <c r="Z9625" s="66"/>
    </row>
    <row r="9626" spans="23:26" x14ac:dyDescent="0.25">
      <c r="W9626" s="65"/>
      <c r="X9626" s="104"/>
      <c r="Y9626" s="54"/>
      <c r="Z9626" s="66"/>
    </row>
    <row r="9627" spans="23:26" x14ac:dyDescent="0.25">
      <c r="W9627" s="65"/>
      <c r="X9627" s="104"/>
      <c r="Y9627" s="54"/>
      <c r="Z9627" s="66"/>
    </row>
    <row r="9628" spans="23:26" x14ac:dyDescent="0.25">
      <c r="W9628" s="65"/>
      <c r="X9628" s="104"/>
      <c r="Y9628" s="54"/>
      <c r="Z9628" s="66"/>
    </row>
    <row r="9629" spans="23:26" x14ac:dyDescent="0.25">
      <c r="W9629" s="65"/>
      <c r="X9629" s="104"/>
      <c r="Y9629" s="54"/>
      <c r="Z9629" s="66"/>
    </row>
    <row r="9630" spans="23:26" x14ac:dyDescent="0.25">
      <c r="W9630" s="65"/>
      <c r="X9630" s="104"/>
      <c r="Y9630" s="54"/>
      <c r="Z9630" s="66"/>
    </row>
    <row r="9631" spans="23:26" x14ac:dyDescent="0.25">
      <c r="W9631" s="65"/>
      <c r="X9631" s="104"/>
      <c r="Y9631" s="54"/>
      <c r="Z9631" s="66"/>
    </row>
    <row r="9632" spans="23:26" x14ac:dyDescent="0.25">
      <c r="W9632" s="65"/>
      <c r="X9632" s="104"/>
      <c r="Y9632" s="54"/>
      <c r="Z9632" s="66"/>
    </row>
    <row r="9633" spans="23:26" x14ac:dyDescent="0.25">
      <c r="W9633" s="65"/>
      <c r="X9633" s="104"/>
      <c r="Y9633" s="54"/>
      <c r="Z9633" s="66"/>
    </row>
    <row r="9634" spans="23:26" x14ac:dyDescent="0.25">
      <c r="W9634" s="65"/>
      <c r="X9634" s="104"/>
      <c r="Y9634" s="54"/>
      <c r="Z9634" s="66"/>
    </row>
    <row r="9635" spans="23:26" x14ac:dyDescent="0.25">
      <c r="W9635" s="65"/>
      <c r="X9635" s="104"/>
      <c r="Y9635" s="54"/>
      <c r="Z9635" s="66"/>
    </row>
    <row r="9636" spans="23:26" x14ac:dyDescent="0.25">
      <c r="W9636" s="65"/>
      <c r="X9636" s="104"/>
      <c r="Y9636" s="54"/>
      <c r="Z9636" s="66"/>
    </row>
    <row r="9637" spans="23:26" x14ac:dyDescent="0.25">
      <c r="W9637" s="65"/>
      <c r="X9637" s="104"/>
      <c r="Y9637" s="54"/>
      <c r="Z9637" s="66"/>
    </row>
    <row r="9638" spans="23:26" x14ac:dyDescent="0.25">
      <c r="W9638" s="65"/>
      <c r="X9638" s="104"/>
      <c r="Y9638" s="54"/>
      <c r="Z9638" s="66"/>
    </row>
    <row r="9639" spans="23:26" x14ac:dyDescent="0.25">
      <c r="W9639" s="65"/>
      <c r="X9639" s="104"/>
      <c r="Y9639" s="54"/>
      <c r="Z9639" s="66"/>
    </row>
    <row r="9640" spans="23:26" x14ac:dyDescent="0.25">
      <c r="W9640" s="65"/>
      <c r="X9640" s="104"/>
      <c r="Y9640" s="54"/>
      <c r="Z9640" s="66"/>
    </row>
    <row r="9641" spans="23:26" x14ac:dyDescent="0.25">
      <c r="W9641" s="65"/>
      <c r="X9641" s="104"/>
      <c r="Y9641" s="54"/>
      <c r="Z9641" s="66"/>
    </row>
    <row r="9642" spans="23:26" x14ac:dyDescent="0.25">
      <c r="W9642" s="65"/>
      <c r="X9642" s="104"/>
      <c r="Y9642" s="54"/>
      <c r="Z9642" s="66"/>
    </row>
    <row r="9643" spans="23:26" x14ac:dyDescent="0.25">
      <c r="W9643" s="65"/>
      <c r="X9643" s="104"/>
      <c r="Y9643" s="54"/>
      <c r="Z9643" s="66"/>
    </row>
    <row r="9644" spans="23:26" x14ac:dyDescent="0.25">
      <c r="W9644" s="65"/>
      <c r="X9644" s="104"/>
      <c r="Y9644" s="54"/>
      <c r="Z9644" s="66"/>
    </row>
    <row r="9645" spans="23:26" x14ac:dyDescent="0.25">
      <c r="W9645" s="65"/>
      <c r="X9645" s="104"/>
      <c r="Y9645" s="54"/>
      <c r="Z9645" s="66"/>
    </row>
    <row r="9646" spans="23:26" x14ac:dyDescent="0.25">
      <c r="W9646" s="65"/>
      <c r="X9646" s="104"/>
      <c r="Y9646" s="54"/>
      <c r="Z9646" s="66"/>
    </row>
    <row r="9647" spans="23:26" x14ac:dyDescent="0.25">
      <c r="W9647" s="65"/>
      <c r="X9647" s="104"/>
      <c r="Y9647" s="54"/>
      <c r="Z9647" s="66"/>
    </row>
    <row r="9648" spans="23:26" x14ac:dyDescent="0.25">
      <c r="W9648" s="65"/>
      <c r="X9648" s="104"/>
      <c r="Y9648" s="54"/>
      <c r="Z9648" s="66"/>
    </row>
    <row r="9649" spans="23:26" x14ac:dyDescent="0.25">
      <c r="W9649" s="65"/>
      <c r="X9649" s="104"/>
      <c r="Y9649" s="54"/>
      <c r="Z9649" s="66"/>
    </row>
    <row r="9650" spans="23:26" x14ac:dyDescent="0.25">
      <c r="W9650" s="65"/>
      <c r="X9650" s="104"/>
      <c r="Y9650" s="54"/>
      <c r="Z9650" s="66"/>
    </row>
    <row r="9651" spans="23:26" x14ac:dyDescent="0.25">
      <c r="W9651" s="65"/>
      <c r="X9651" s="104"/>
      <c r="Y9651" s="54"/>
      <c r="Z9651" s="66"/>
    </row>
    <row r="9652" spans="23:26" x14ac:dyDescent="0.25">
      <c r="W9652" s="65"/>
      <c r="X9652" s="104"/>
      <c r="Y9652" s="54"/>
      <c r="Z9652" s="66"/>
    </row>
    <row r="9653" spans="23:26" x14ac:dyDescent="0.25">
      <c r="W9653" s="65"/>
      <c r="X9653" s="104"/>
      <c r="Y9653" s="54"/>
      <c r="Z9653" s="66"/>
    </row>
    <row r="9654" spans="23:26" x14ac:dyDescent="0.25">
      <c r="W9654" s="65"/>
      <c r="X9654" s="104"/>
      <c r="Y9654" s="54"/>
      <c r="Z9654" s="66"/>
    </row>
    <row r="9655" spans="23:26" x14ac:dyDescent="0.25">
      <c r="W9655" s="65"/>
      <c r="X9655" s="104"/>
      <c r="Y9655" s="54"/>
      <c r="Z9655" s="66"/>
    </row>
    <row r="9656" spans="23:26" x14ac:dyDescent="0.25">
      <c r="W9656" s="65"/>
      <c r="X9656" s="104"/>
      <c r="Y9656" s="54"/>
      <c r="Z9656" s="66"/>
    </row>
    <row r="9657" spans="23:26" x14ac:dyDescent="0.25">
      <c r="W9657" s="65"/>
      <c r="X9657" s="104"/>
      <c r="Y9657" s="54"/>
      <c r="Z9657" s="66"/>
    </row>
    <row r="9658" spans="23:26" x14ac:dyDescent="0.25">
      <c r="W9658" s="65"/>
      <c r="X9658" s="104"/>
      <c r="Y9658" s="54"/>
      <c r="Z9658" s="66"/>
    </row>
    <row r="9659" spans="23:26" x14ac:dyDescent="0.25">
      <c r="W9659" s="65"/>
      <c r="X9659" s="104"/>
      <c r="Y9659" s="54"/>
      <c r="Z9659" s="66"/>
    </row>
    <row r="9660" spans="23:26" x14ac:dyDescent="0.25">
      <c r="W9660" s="65"/>
      <c r="X9660" s="104"/>
      <c r="Y9660" s="54"/>
      <c r="Z9660" s="66"/>
    </row>
    <row r="9661" spans="23:26" x14ac:dyDescent="0.25">
      <c r="W9661" s="65"/>
      <c r="X9661" s="104"/>
      <c r="Y9661" s="54"/>
      <c r="Z9661" s="66"/>
    </row>
    <row r="9662" spans="23:26" x14ac:dyDescent="0.25">
      <c r="W9662" s="65"/>
      <c r="X9662" s="104"/>
      <c r="Y9662" s="54"/>
      <c r="Z9662" s="66"/>
    </row>
    <row r="9663" spans="23:26" x14ac:dyDescent="0.25">
      <c r="W9663" s="65"/>
      <c r="X9663" s="104"/>
      <c r="Y9663" s="54"/>
      <c r="Z9663" s="66"/>
    </row>
    <row r="9664" spans="23:26" x14ac:dyDescent="0.25">
      <c r="W9664" s="65"/>
      <c r="X9664" s="104"/>
      <c r="Y9664" s="54"/>
      <c r="Z9664" s="66"/>
    </row>
    <row r="9665" spans="23:26" x14ac:dyDescent="0.25">
      <c r="W9665" s="65"/>
      <c r="X9665" s="104"/>
      <c r="Y9665" s="54"/>
      <c r="Z9665" s="66"/>
    </row>
    <row r="9666" spans="23:26" x14ac:dyDescent="0.25">
      <c r="W9666" s="65"/>
      <c r="X9666" s="104"/>
      <c r="Y9666" s="54"/>
      <c r="Z9666" s="66"/>
    </row>
    <row r="9667" spans="23:26" x14ac:dyDescent="0.25">
      <c r="W9667" s="65"/>
      <c r="X9667" s="104"/>
      <c r="Y9667" s="54"/>
      <c r="Z9667" s="66"/>
    </row>
    <row r="9668" spans="23:26" x14ac:dyDescent="0.25">
      <c r="W9668" s="65"/>
      <c r="X9668" s="104"/>
      <c r="Y9668" s="54"/>
      <c r="Z9668" s="66"/>
    </row>
    <row r="9669" spans="23:26" x14ac:dyDescent="0.25">
      <c r="W9669" s="65"/>
      <c r="X9669" s="104"/>
      <c r="Y9669" s="54"/>
      <c r="Z9669" s="66"/>
    </row>
    <row r="9670" spans="23:26" x14ac:dyDescent="0.25">
      <c r="W9670" s="65"/>
      <c r="X9670" s="104"/>
      <c r="Y9670" s="54"/>
      <c r="Z9670" s="66"/>
    </row>
    <row r="9671" spans="23:26" x14ac:dyDescent="0.25">
      <c r="W9671" s="65"/>
      <c r="X9671" s="104"/>
      <c r="Y9671" s="54"/>
      <c r="Z9671" s="66"/>
    </row>
    <row r="9672" spans="23:26" x14ac:dyDescent="0.25">
      <c r="W9672" s="65"/>
      <c r="X9672" s="104"/>
      <c r="Y9672" s="54"/>
      <c r="Z9672" s="66"/>
    </row>
    <row r="9673" spans="23:26" x14ac:dyDescent="0.25">
      <c r="W9673" s="65"/>
      <c r="X9673" s="104"/>
      <c r="Y9673" s="54"/>
      <c r="Z9673" s="66"/>
    </row>
    <row r="9674" spans="23:26" x14ac:dyDescent="0.25">
      <c r="W9674" s="65"/>
      <c r="X9674" s="104"/>
      <c r="Y9674" s="54"/>
      <c r="Z9674" s="66"/>
    </row>
    <row r="9675" spans="23:26" x14ac:dyDescent="0.25">
      <c r="W9675" s="65"/>
      <c r="X9675" s="104"/>
      <c r="Y9675" s="54"/>
      <c r="Z9675" s="66"/>
    </row>
    <row r="9676" spans="23:26" x14ac:dyDescent="0.25">
      <c r="W9676" s="65"/>
      <c r="X9676" s="104"/>
      <c r="Y9676" s="54"/>
      <c r="Z9676" s="66"/>
    </row>
    <row r="9677" spans="23:26" x14ac:dyDescent="0.25">
      <c r="W9677" s="65"/>
      <c r="X9677" s="104"/>
      <c r="Y9677" s="54"/>
      <c r="Z9677" s="66"/>
    </row>
    <row r="9678" spans="23:26" x14ac:dyDescent="0.25">
      <c r="W9678" s="65"/>
      <c r="X9678" s="104"/>
      <c r="Y9678" s="54"/>
      <c r="Z9678" s="66"/>
    </row>
    <row r="9679" spans="23:26" x14ac:dyDescent="0.25">
      <c r="W9679" s="65"/>
      <c r="X9679" s="104"/>
      <c r="Y9679" s="54"/>
      <c r="Z9679" s="66"/>
    </row>
    <row r="9680" spans="23:26" x14ac:dyDescent="0.25">
      <c r="W9680" s="65"/>
      <c r="X9680" s="104"/>
      <c r="Y9680" s="54"/>
      <c r="Z9680" s="66"/>
    </row>
    <row r="9681" spans="23:26" x14ac:dyDescent="0.25">
      <c r="W9681" s="65"/>
      <c r="X9681" s="104"/>
      <c r="Y9681" s="54"/>
      <c r="Z9681" s="66"/>
    </row>
    <row r="9682" spans="23:26" x14ac:dyDescent="0.25">
      <c r="W9682" s="65"/>
      <c r="X9682" s="104"/>
      <c r="Y9682" s="54"/>
      <c r="Z9682" s="66"/>
    </row>
    <row r="9683" spans="23:26" x14ac:dyDescent="0.25">
      <c r="W9683" s="65"/>
      <c r="X9683" s="104"/>
      <c r="Y9683" s="54"/>
      <c r="Z9683" s="66"/>
    </row>
    <row r="9684" spans="23:26" x14ac:dyDescent="0.25">
      <c r="W9684" s="65"/>
      <c r="X9684" s="104"/>
      <c r="Y9684" s="54"/>
      <c r="Z9684" s="66"/>
    </row>
    <row r="9685" spans="23:26" x14ac:dyDescent="0.25">
      <c r="W9685" s="65"/>
      <c r="X9685" s="104"/>
      <c r="Y9685" s="54"/>
      <c r="Z9685" s="66"/>
    </row>
    <row r="9686" spans="23:26" x14ac:dyDescent="0.25">
      <c r="W9686" s="65"/>
      <c r="X9686" s="104"/>
      <c r="Y9686" s="54"/>
      <c r="Z9686" s="66"/>
    </row>
    <row r="9687" spans="23:26" x14ac:dyDescent="0.25">
      <c r="W9687" s="65"/>
      <c r="X9687" s="104"/>
      <c r="Y9687" s="54"/>
      <c r="Z9687" s="66"/>
    </row>
    <row r="9688" spans="23:26" x14ac:dyDescent="0.25">
      <c r="W9688" s="65"/>
      <c r="X9688" s="104"/>
      <c r="Y9688" s="54"/>
      <c r="Z9688" s="66"/>
    </row>
    <row r="9689" spans="23:26" x14ac:dyDescent="0.25">
      <c r="W9689" s="65"/>
      <c r="X9689" s="104"/>
      <c r="Y9689" s="54"/>
      <c r="Z9689" s="66"/>
    </row>
    <row r="9690" spans="23:26" x14ac:dyDescent="0.25">
      <c r="W9690" s="65"/>
      <c r="X9690" s="104"/>
      <c r="Y9690" s="54"/>
      <c r="Z9690" s="66"/>
    </row>
    <row r="9691" spans="23:26" x14ac:dyDescent="0.25">
      <c r="W9691" s="65"/>
      <c r="X9691" s="104"/>
      <c r="Y9691" s="54"/>
      <c r="Z9691" s="66"/>
    </row>
    <row r="9692" spans="23:26" x14ac:dyDescent="0.25">
      <c r="W9692" s="65"/>
      <c r="X9692" s="104"/>
      <c r="Y9692" s="54"/>
      <c r="Z9692" s="66"/>
    </row>
    <row r="9693" spans="23:26" x14ac:dyDescent="0.25">
      <c r="W9693" s="65"/>
      <c r="X9693" s="104"/>
      <c r="Y9693" s="54"/>
      <c r="Z9693" s="66"/>
    </row>
    <row r="9694" spans="23:26" x14ac:dyDescent="0.25">
      <c r="W9694" s="65"/>
      <c r="X9694" s="104"/>
      <c r="Y9694" s="54"/>
      <c r="Z9694" s="66"/>
    </row>
    <row r="9695" spans="23:26" x14ac:dyDescent="0.25">
      <c r="W9695" s="65"/>
      <c r="X9695" s="104"/>
      <c r="Y9695" s="54"/>
      <c r="Z9695" s="66"/>
    </row>
    <row r="9696" spans="23:26" x14ac:dyDescent="0.25">
      <c r="W9696" s="65"/>
      <c r="X9696" s="104"/>
      <c r="Y9696" s="54"/>
      <c r="Z9696" s="66"/>
    </row>
    <row r="9697" spans="23:26" x14ac:dyDescent="0.25">
      <c r="W9697" s="65"/>
      <c r="X9697" s="104"/>
      <c r="Y9697" s="54"/>
      <c r="Z9697" s="66"/>
    </row>
    <row r="9698" spans="23:26" x14ac:dyDescent="0.25">
      <c r="W9698" s="65"/>
      <c r="X9698" s="104"/>
      <c r="Y9698" s="54"/>
      <c r="Z9698" s="66"/>
    </row>
    <row r="9699" spans="23:26" x14ac:dyDescent="0.25">
      <c r="W9699" s="65"/>
      <c r="X9699" s="104"/>
      <c r="Y9699" s="54"/>
      <c r="Z9699" s="66"/>
    </row>
    <row r="9700" spans="23:26" x14ac:dyDescent="0.25">
      <c r="W9700" s="65"/>
      <c r="X9700" s="104"/>
      <c r="Y9700" s="54"/>
      <c r="Z9700" s="66"/>
    </row>
    <row r="9701" spans="23:26" x14ac:dyDescent="0.25">
      <c r="W9701" s="65"/>
      <c r="X9701" s="104"/>
      <c r="Y9701" s="54"/>
      <c r="Z9701" s="66"/>
    </row>
    <row r="9702" spans="23:26" x14ac:dyDescent="0.25">
      <c r="W9702" s="65"/>
      <c r="X9702" s="104"/>
      <c r="Y9702" s="54"/>
      <c r="Z9702" s="66"/>
    </row>
    <row r="9703" spans="23:26" x14ac:dyDescent="0.25">
      <c r="W9703" s="65"/>
      <c r="X9703" s="104"/>
      <c r="Y9703" s="54"/>
      <c r="Z9703" s="66"/>
    </row>
    <row r="9704" spans="23:26" x14ac:dyDescent="0.25">
      <c r="W9704" s="65"/>
      <c r="X9704" s="104"/>
      <c r="Y9704" s="54"/>
      <c r="Z9704" s="66"/>
    </row>
    <row r="9705" spans="23:26" x14ac:dyDescent="0.25">
      <c r="W9705" s="65"/>
      <c r="X9705" s="104"/>
      <c r="Y9705" s="54"/>
      <c r="Z9705" s="66"/>
    </row>
    <row r="9706" spans="23:26" x14ac:dyDescent="0.25">
      <c r="W9706" s="65"/>
      <c r="X9706" s="104"/>
      <c r="Y9706" s="54"/>
      <c r="Z9706" s="66"/>
    </row>
    <row r="9707" spans="23:26" x14ac:dyDescent="0.25">
      <c r="W9707" s="65"/>
      <c r="X9707" s="104"/>
      <c r="Y9707" s="54"/>
      <c r="Z9707" s="66"/>
    </row>
    <row r="9708" spans="23:26" x14ac:dyDescent="0.25">
      <c r="W9708" s="65"/>
      <c r="X9708" s="104"/>
      <c r="Y9708" s="54"/>
      <c r="Z9708" s="66"/>
    </row>
    <row r="9709" spans="23:26" x14ac:dyDescent="0.25">
      <c r="W9709" s="65"/>
      <c r="X9709" s="104"/>
      <c r="Y9709" s="54"/>
      <c r="Z9709" s="66"/>
    </row>
    <row r="9710" spans="23:26" x14ac:dyDescent="0.25">
      <c r="W9710" s="65"/>
      <c r="X9710" s="104"/>
      <c r="Y9710" s="54"/>
      <c r="Z9710" s="66"/>
    </row>
    <row r="9711" spans="23:26" x14ac:dyDescent="0.25">
      <c r="W9711" s="65"/>
      <c r="X9711" s="104"/>
      <c r="Y9711" s="54"/>
      <c r="Z9711" s="66"/>
    </row>
    <row r="9712" spans="23:26" x14ac:dyDescent="0.25">
      <c r="W9712" s="65"/>
      <c r="X9712" s="104"/>
      <c r="Y9712" s="54"/>
      <c r="Z9712" s="66"/>
    </row>
    <row r="9713" spans="23:26" x14ac:dyDescent="0.25">
      <c r="W9713" s="65"/>
      <c r="X9713" s="104"/>
      <c r="Y9713" s="54"/>
      <c r="Z9713" s="66"/>
    </row>
    <row r="9714" spans="23:26" x14ac:dyDescent="0.25">
      <c r="W9714" s="65"/>
      <c r="X9714" s="104"/>
      <c r="Y9714" s="54"/>
      <c r="Z9714" s="66"/>
    </row>
    <row r="9715" spans="23:26" x14ac:dyDescent="0.25">
      <c r="W9715" s="65"/>
      <c r="X9715" s="104"/>
      <c r="Y9715" s="54"/>
      <c r="Z9715" s="66"/>
    </row>
    <row r="9716" spans="23:26" x14ac:dyDescent="0.25">
      <c r="W9716" s="65"/>
      <c r="X9716" s="104"/>
      <c r="Y9716" s="54"/>
      <c r="Z9716" s="66"/>
    </row>
    <row r="9717" spans="23:26" x14ac:dyDescent="0.25">
      <c r="W9717" s="65"/>
      <c r="X9717" s="104"/>
      <c r="Y9717" s="54"/>
      <c r="Z9717" s="66"/>
    </row>
    <row r="9718" spans="23:26" x14ac:dyDescent="0.25">
      <c r="W9718" s="65"/>
      <c r="X9718" s="104"/>
      <c r="Y9718" s="54"/>
      <c r="Z9718" s="66"/>
    </row>
    <row r="9719" spans="23:26" x14ac:dyDescent="0.25">
      <c r="W9719" s="65"/>
      <c r="X9719" s="104"/>
      <c r="Y9719" s="54"/>
      <c r="Z9719" s="66"/>
    </row>
    <row r="9720" spans="23:26" x14ac:dyDescent="0.25">
      <c r="W9720" s="65"/>
      <c r="X9720" s="104"/>
      <c r="Y9720" s="54"/>
      <c r="Z9720" s="66"/>
    </row>
    <row r="9721" spans="23:26" x14ac:dyDescent="0.25">
      <c r="W9721" s="65"/>
      <c r="X9721" s="104"/>
      <c r="Y9721" s="54"/>
      <c r="Z9721" s="66"/>
    </row>
    <row r="9722" spans="23:26" x14ac:dyDescent="0.25">
      <c r="W9722" s="65"/>
      <c r="X9722" s="104"/>
      <c r="Y9722" s="54"/>
      <c r="Z9722" s="66"/>
    </row>
    <row r="9723" spans="23:26" x14ac:dyDescent="0.25">
      <c r="W9723" s="65"/>
      <c r="X9723" s="104"/>
      <c r="Y9723" s="54"/>
      <c r="Z9723" s="66"/>
    </row>
    <row r="9724" spans="23:26" x14ac:dyDescent="0.25">
      <c r="W9724" s="65"/>
      <c r="X9724" s="104"/>
      <c r="Y9724" s="54"/>
      <c r="Z9724" s="66"/>
    </row>
    <row r="9725" spans="23:26" x14ac:dyDescent="0.25">
      <c r="W9725" s="65"/>
      <c r="X9725" s="104"/>
      <c r="Y9725" s="54"/>
      <c r="Z9725" s="66"/>
    </row>
    <row r="9726" spans="23:26" x14ac:dyDescent="0.25">
      <c r="W9726" s="65"/>
      <c r="X9726" s="104"/>
      <c r="Y9726" s="54"/>
      <c r="Z9726" s="66"/>
    </row>
    <row r="9727" spans="23:26" x14ac:dyDescent="0.25">
      <c r="W9727" s="65"/>
      <c r="X9727" s="104"/>
      <c r="Y9727" s="54"/>
      <c r="Z9727" s="66"/>
    </row>
    <row r="9728" spans="23:26" x14ac:dyDescent="0.25">
      <c r="W9728" s="65"/>
      <c r="X9728" s="104"/>
      <c r="Y9728" s="54"/>
      <c r="Z9728" s="66"/>
    </row>
    <row r="9729" spans="23:26" x14ac:dyDescent="0.25">
      <c r="W9729" s="65"/>
      <c r="X9729" s="104"/>
      <c r="Y9729" s="54"/>
      <c r="Z9729" s="66"/>
    </row>
    <row r="9730" spans="23:26" x14ac:dyDescent="0.25">
      <c r="W9730" s="65"/>
      <c r="X9730" s="104"/>
      <c r="Y9730" s="54"/>
      <c r="Z9730" s="66"/>
    </row>
    <row r="9731" spans="23:26" x14ac:dyDescent="0.25">
      <c r="W9731" s="65"/>
      <c r="X9731" s="104"/>
      <c r="Y9731" s="54"/>
      <c r="Z9731" s="66"/>
    </row>
    <row r="9732" spans="23:26" x14ac:dyDescent="0.25">
      <c r="W9732" s="65"/>
      <c r="X9732" s="104"/>
      <c r="Y9732" s="54"/>
      <c r="Z9732" s="66"/>
    </row>
    <row r="9733" spans="23:26" x14ac:dyDescent="0.25">
      <c r="W9733" s="65"/>
      <c r="X9733" s="104"/>
      <c r="Y9733" s="54"/>
      <c r="Z9733" s="66"/>
    </row>
    <row r="9734" spans="23:26" x14ac:dyDescent="0.25">
      <c r="W9734" s="65"/>
      <c r="X9734" s="104"/>
      <c r="Y9734" s="54"/>
      <c r="Z9734" s="66"/>
    </row>
    <row r="9735" spans="23:26" x14ac:dyDescent="0.25">
      <c r="W9735" s="65"/>
      <c r="X9735" s="104"/>
      <c r="Y9735" s="54"/>
      <c r="Z9735" s="66"/>
    </row>
    <row r="9736" spans="23:26" x14ac:dyDescent="0.25">
      <c r="W9736" s="65"/>
      <c r="X9736" s="104"/>
      <c r="Y9736" s="54"/>
      <c r="Z9736" s="66"/>
    </row>
    <row r="9737" spans="23:26" x14ac:dyDescent="0.25">
      <c r="W9737" s="65"/>
      <c r="X9737" s="104"/>
      <c r="Y9737" s="54"/>
      <c r="Z9737" s="66"/>
    </row>
    <row r="9738" spans="23:26" x14ac:dyDescent="0.25">
      <c r="W9738" s="65"/>
      <c r="X9738" s="104"/>
      <c r="Y9738" s="54"/>
      <c r="Z9738" s="66"/>
    </row>
    <row r="9739" spans="23:26" x14ac:dyDescent="0.25">
      <c r="W9739" s="65"/>
      <c r="X9739" s="104"/>
      <c r="Y9739" s="54"/>
      <c r="Z9739" s="66"/>
    </row>
    <row r="9740" spans="23:26" x14ac:dyDescent="0.25">
      <c r="W9740" s="65"/>
      <c r="X9740" s="104"/>
      <c r="Y9740" s="54"/>
      <c r="Z9740" s="66"/>
    </row>
    <row r="9741" spans="23:26" x14ac:dyDescent="0.25">
      <c r="W9741" s="65"/>
      <c r="X9741" s="104"/>
      <c r="Y9741" s="54"/>
      <c r="Z9741" s="66"/>
    </row>
    <row r="9742" spans="23:26" x14ac:dyDescent="0.25">
      <c r="W9742" s="65"/>
      <c r="X9742" s="104"/>
      <c r="Y9742" s="54"/>
      <c r="Z9742" s="66"/>
    </row>
    <row r="9743" spans="23:26" x14ac:dyDescent="0.25">
      <c r="W9743" s="65"/>
      <c r="X9743" s="104"/>
      <c r="Y9743" s="54"/>
      <c r="Z9743" s="66"/>
    </row>
    <row r="9744" spans="23:26" x14ac:dyDescent="0.25">
      <c r="W9744" s="65"/>
      <c r="X9744" s="104"/>
      <c r="Y9744" s="54"/>
      <c r="Z9744" s="66"/>
    </row>
    <row r="9745" spans="23:26" x14ac:dyDescent="0.25">
      <c r="W9745" s="65"/>
      <c r="X9745" s="104"/>
      <c r="Y9745" s="54"/>
      <c r="Z9745" s="66"/>
    </row>
    <row r="9746" spans="23:26" x14ac:dyDescent="0.25">
      <c r="W9746" s="65"/>
      <c r="X9746" s="104"/>
      <c r="Y9746" s="54"/>
      <c r="Z9746" s="66"/>
    </row>
    <row r="9747" spans="23:26" x14ac:dyDescent="0.25">
      <c r="W9747" s="65"/>
      <c r="X9747" s="104"/>
      <c r="Y9747" s="54"/>
      <c r="Z9747" s="66"/>
    </row>
    <row r="9748" spans="23:26" x14ac:dyDescent="0.25">
      <c r="W9748" s="65"/>
      <c r="X9748" s="104"/>
      <c r="Y9748" s="54"/>
      <c r="Z9748" s="66"/>
    </row>
    <row r="9749" spans="23:26" x14ac:dyDescent="0.25">
      <c r="W9749" s="65"/>
      <c r="X9749" s="104"/>
      <c r="Y9749" s="54"/>
      <c r="Z9749" s="66"/>
    </row>
    <row r="9750" spans="23:26" x14ac:dyDescent="0.25">
      <c r="W9750" s="65"/>
      <c r="X9750" s="104"/>
      <c r="Y9750" s="54"/>
      <c r="Z9750" s="66"/>
    </row>
    <row r="9751" spans="23:26" x14ac:dyDescent="0.25">
      <c r="W9751" s="65"/>
      <c r="X9751" s="104"/>
      <c r="Y9751" s="54"/>
      <c r="Z9751" s="66"/>
    </row>
    <row r="9752" spans="23:26" x14ac:dyDescent="0.25">
      <c r="W9752" s="65"/>
      <c r="X9752" s="104"/>
      <c r="Y9752" s="54"/>
      <c r="Z9752" s="66"/>
    </row>
    <row r="9753" spans="23:26" x14ac:dyDescent="0.25">
      <c r="W9753" s="65"/>
      <c r="X9753" s="104"/>
      <c r="Y9753" s="54"/>
      <c r="Z9753" s="66"/>
    </row>
    <row r="9754" spans="23:26" x14ac:dyDescent="0.25">
      <c r="W9754" s="65"/>
      <c r="X9754" s="104"/>
      <c r="Y9754" s="54"/>
      <c r="Z9754" s="66"/>
    </row>
    <row r="9755" spans="23:26" x14ac:dyDescent="0.25">
      <c r="W9755" s="65"/>
      <c r="X9755" s="104"/>
      <c r="Y9755" s="54"/>
      <c r="Z9755" s="66"/>
    </row>
    <row r="9756" spans="23:26" x14ac:dyDescent="0.25">
      <c r="W9756" s="65"/>
      <c r="X9756" s="104"/>
      <c r="Y9756" s="54"/>
      <c r="Z9756" s="66"/>
    </row>
    <row r="9757" spans="23:26" x14ac:dyDescent="0.25">
      <c r="W9757" s="65"/>
      <c r="X9757" s="104"/>
      <c r="Y9757" s="54"/>
      <c r="Z9757" s="66"/>
    </row>
    <row r="9758" spans="23:26" x14ac:dyDescent="0.25">
      <c r="W9758" s="65"/>
      <c r="X9758" s="104"/>
      <c r="Y9758" s="54"/>
      <c r="Z9758" s="66"/>
    </row>
    <row r="9759" spans="23:26" x14ac:dyDescent="0.25">
      <c r="W9759" s="65"/>
      <c r="X9759" s="104"/>
      <c r="Y9759" s="54"/>
      <c r="Z9759" s="66"/>
    </row>
    <row r="9760" spans="23:26" x14ac:dyDescent="0.25">
      <c r="W9760" s="65"/>
      <c r="X9760" s="104"/>
      <c r="Y9760" s="54"/>
      <c r="Z9760" s="66"/>
    </row>
    <row r="9761" spans="23:26" x14ac:dyDescent="0.25">
      <c r="W9761" s="65"/>
      <c r="X9761" s="104"/>
      <c r="Y9761" s="54"/>
      <c r="Z9761" s="66"/>
    </row>
    <row r="9762" spans="23:26" x14ac:dyDescent="0.25">
      <c r="W9762" s="65"/>
      <c r="X9762" s="104"/>
      <c r="Y9762" s="54"/>
      <c r="Z9762" s="66"/>
    </row>
    <row r="9763" spans="23:26" x14ac:dyDescent="0.25">
      <c r="W9763" s="65"/>
      <c r="X9763" s="104"/>
      <c r="Y9763" s="54"/>
      <c r="Z9763" s="66"/>
    </row>
    <row r="9764" spans="23:26" x14ac:dyDescent="0.25">
      <c r="W9764" s="65"/>
      <c r="X9764" s="104"/>
      <c r="Y9764" s="54"/>
      <c r="Z9764" s="66"/>
    </row>
    <row r="9765" spans="23:26" x14ac:dyDescent="0.25">
      <c r="W9765" s="65"/>
      <c r="X9765" s="104"/>
      <c r="Y9765" s="54"/>
      <c r="Z9765" s="66"/>
    </row>
    <row r="9766" spans="23:26" x14ac:dyDescent="0.25">
      <c r="W9766" s="65"/>
      <c r="X9766" s="104"/>
      <c r="Y9766" s="54"/>
      <c r="Z9766" s="66"/>
    </row>
    <row r="9767" spans="23:26" x14ac:dyDescent="0.25">
      <c r="W9767" s="65"/>
      <c r="X9767" s="104"/>
      <c r="Y9767" s="54"/>
      <c r="Z9767" s="66"/>
    </row>
    <row r="9768" spans="23:26" x14ac:dyDescent="0.25">
      <c r="W9768" s="65"/>
      <c r="X9768" s="104"/>
      <c r="Y9768" s="54"/>
      <c r="Z9768" s="66"/>
    </row>
    <row r="9769" spans="23:26" x14ac:dyDescent="0.25">
      <c r="W9769" s="65"/>
      <c r="X9769" s="104"/>
      <c r="Y9769" s="54"/>
      <c r="Z9769" s="66"/>
    </row>
    <row r="9770" spans="23:26" x14ac:dyDescent="0.25">
      <c r="W9770" s="65"/>
      <c r="X9770" s="104"/>
      <c r="Y9770" s="54"/>
      <c r="Z9770" s="66"/>
    </row>
    <row r="9771" spans="23:26" x14ac:dyDescent="0.25">
      <c r="W9771" s="65"/>
      <c r="X9771" s="104"/>
      <c r="Y9771" s="54"/>
      <c r="Z9771" s="66"/>
    </row>
    <row r="9772" spans="23:26" x14ac:dyDescent="0.25">
      <c r="W9772" s="65"/>
      <c r="X9772" s="104"/>
      <c r="Y9772" s="54"/>
      <c r="Z9772" s="66"/>
    </row>
    <row r="9773" spans="23:26" x14ac:dyDescent="0.25">
      <c r="W9773" s="65"/>
      <c r="X9773" s="104"/>
      <c r="Y9773" s="54"/>
      <c r="Z9773" s="66"/>
    </row>
    <row r="9774" spans="23:26" x14ac:dyDescent="0.25">
      <c r="W9774" s="65"/>
      <c r="X9774" s="104"/>
      <c r="Y9774" s="54"/>
      <c r="Z9774" s="66"/>
    </row>
    <row r="9775" spans="23:26" x14ac:dyDescent="0.25">
      <c r="W9775" s="65"/>
      <c r="X9775" s="104"/>
      <c r="Y9775" s="54"/>
      <c r="Z9775" s="66"/>
    </row>
    <row r="9776" spans="23:26" x14ac:dyDescent="0.25">
      <c r="W9776" s="65"/>
      <c r="X9776" s="104"/>
      <c r="Y9776" s="54"/>
      <c r="Z9776" s="66"/>
    </row>
    <row r="9777" spans="23:26" x14ac:dyDescent="0.25">
      <c r="W9777" s="65"/>
      <c r="X9777" s="104"/>
      <c r="Y9777" s="54"/>
      <c r="Z9777" s="66"/>
    </row>
    <row r="9778" spans="23:26" x14ac:dyDescent="0.25">
      <c r="W9778" s="65"/>
      <c r="X9778" s="104"/>
      <c r="Y9778" s="54"/>
      <c r="Z9778" s="66"/>
    </row>
    <row r="9779" spans="23:26" x14ac:dyDescent="0.25">
      <c r="W9779" s="65"/>
      <c r="X9779" s="104"/>
      <c r="Y9779" s="54"/>
      <c r="Z9779" s="66"/>
    </row>
    <row r="9780" spans="23:26" x14ac:dyDescent="0.25">
      <c r="W9780" s="65"/>
      <c r="X9780" s="104"/>
      <c r="Y9780" s="54"/>
      <c r="Z9780" s="66"/>
    </row>
    <row r="9781" spans="23:26" x14ac:dyDescent="0.25">
      <c r="W9781" s="65"/>
      <c r="X9781" s="104"/>
      <c r="Y9781" s="54"/>
      <c r="Z9781" s="66"/>
    </row>
    <row r="9782" spans="23:26" x14ac:dyDescent="0.25">
      <c r="W9782" s="65"/>
      <c r="X9782" s="104"/>
      <c r="Y9782" s="54"/>
      <c r="Z9782" s="66"/>
    </row>
    <row r="9783" spans="23:26" x14ac:dyDescent="0.25">
      <c r="W9783" s="65"/>
      <c r="X9783" s="104"/>
      <c r="Y9783" s="54"/>
      <c r="Z9783" s="66"/>
    </row>
    <row r="9784" spans="23:26" x14ac:dyDescent="0.25">
      <c r="W9784" s="65"/>
      <c r="X9784" s="104"/>
      <c r="Y9784" s="54"/>
      <c r="Z9784" s="66"/>
    </row>
    <row r="9785" spans="23:26" x14ac:dyDescent="0.25">
      <c r="W9785" s="65"/>
      <c r="X9785" s="104"/>
      <c r="Y9785" s="54"/>
      <c r="Z9785" s="66"/>
    </row>
    <row r="9786" spans="23:26" x14ac:dyDescent="0.25">
      <c r="W9786" s="65"/>
      <c r="X9786" s="104"/>
      <c r="Y9786" s="54"/>
      <c r="Z9786" s="66"/>
    </row>
    <row r="9787" spans="23:26" x14ac:dyDescent="0.25">
      <c r="W9787" s="65"/>
      <c r="X9787" s="104"/>
      <c r="Y9787" s="54"/>
      <c r="Z9787" s="66"/>
    </row>
    <row r="9788" spans="23:26" x14ac:dyDescent="0.25">
      <c r="W9788" s="65"/>
      <c r="X9788" s="104"/>
      <c r="Y9788" s="54"/>
      <c r="Z9788" s="66"/>
    </row>
    <row r="9789" spans="23:26" x14ac:dyDescent="0.25">
      <c r="W9789" s="65"/>
      <c r="X9789" s="104"/>
      <c r="Y9789" s="54"/>
      <c r="Z9789" s="66"/>
    </row>
    <row r="9790" spans="23:26" x14ac:dyDescent="0.25">
      <c r="W9790" s="65"/>
      <c r="X9790" s="104"/>
      <c r="Y9790" s="54"/>
      <c r="Z9790" s="66"/>
    </row>
    <row r="9791" spans="23:26" x14ac:dyDescent="0.25">
      <c r="W9791" s="65"/>
      <c r="X9791" s="104"/>
      <c r="Y9791" s="54"/>
      <c r="Z9791" s="66"/>
    </row>
    <row r="9792" spans="23:26" x14ac:dyDescent="0.25">
      <c r="W9792" s="65"/>
      <c r="X9792" s="104"/>
      <c r="Y9792" s="54"/>
      <c r="Z9792" s="66"/>
    </row>
    <row r="9793" spans="23:26" x14ac:dyDescent="0.25">
      <c r="W9793" s="65"/>
      <c r="X9793" s="104"/>
      <c r="Y9793" s="54"/>
      <c r="Z9793" s="66"/>
    </row>
    <row r="9794" spans="23:26" x14ac:dyDescent="0.25">
      <c r="W9794" s="65"/>
      <c r="X9794" s="104"/>
      <c r="Y9794" s="54"/>
      <c r="Z9794" s="66"/>
    </row>
    <row r="9795" spans="23:26" x14ac:dyDescent="0.25">
      <c r="W9795" s="65"/>
      <c r="X9795" s="104"/>
      <c r="Y9795" s="54"/>
      <c r="Z9795" s="66"/>
    </row>
    <row r="9796" spans="23:26" x14ac:dyDescent="0.25">
      <c r="W9796" s="65"/>
      <c r="X9796" s="104"/>
      <c r="Y9796" s="54"/>
      <c r="Z9796" s="66"/>
    </row>
    <row r="9797" spans="23:26" x14ac:dyDescent="0.25">
      <c r="W9797" s="65"/>
      <c r="X9797" s="104"/>
      <c r="Y9797" s="54"/>
      <c r="Z9797" s="66"/>
    </row>
    <row r="9798" spans="23:26" x14ac:dyDescent="0.25">
      <c r="W9798" s="65"/>
      <c r="X9798" s="104"/>
      <c r="Y9798" s="54"/>
      <c r="Z9798" s="66"/>
    </row>
    <row r="9799" spans="23:26" x14ac:dyDescent="0.25">
      <c r="W9799" s="65"/>
      <c r="X9799" s="104"/>
      <c r="Y9799" s="54"/>
      <c r="Z9799" s="66"/>
    </row>
    <row r="9800" spans="23:26" x14ac:dyDescent="0.25">
      <c r="W9800" s="65"/>
      <c r="X9800" s="104"/>
      <c r="Y9800" s="54"/>
      <c r="Z9800" s="66"/>
    </row>
    <row r="9801" spans="23:26" x14ac:dyDescent="0.25">
      <c r="W9801" s="65"/>
      <c r="X9801" s="104"/>
      <c r="Y9801" s="54"/>
      <c r="Z9801" s="66"/>
    </row>
    <row r="9802" spans="23:26" x14ac:dyDescent="0.25">
      <c r="W9802" s="65"/>
      <c r="X9802" s="104"/>
      <c r="Y9802" s="54"/>
      <c r="Z9802" s="66"/>
    </row>
    <row r="9803" spans="23:26" x14ac:dyDescent="0.25">
      <c r="W9803" s="65"/>
      <c r="X9803" s="104"/>
      <c r="Y9803" s="54"/>
      <c r="Z9803" s="66"/>
    </row>
    <row r="9804" spans="23:26" x14ac:dyDescent="0.25">
      <c r="W9804" s="65"/>
      <c r="X9804" s="104"/>
      <c r="Y9804" s="54"/>
      <c r="Z9804" s="66"/>
    </row>
    <row r="9805" spans="23:26" x14ac:dyDescent="0.25">
      <c r="W9805" s="65"/>
      <c r="X9805" s="104"/>
      <c r="Y9805" s="54"/>
      <c r="Z9805" s="66"/>
    </row>
    <row r="9806" spans="23:26" x14ac:dyDescent="0.25">
      <c r="W9806" s="65"/>
      <c r="X9806" s="104"/>
      <c r="Y9806" s="54"/>
      <c r="Z9806" s="66"/>
    </row>
    <row r="9807" spans="23:26" x14ac:dyDescent="0.25">
      <c r="W9807" s="65"/>
      <c r="X9807" s="104"/>
      <c r="Y9807" s="54"/>
      <c r="Z9807" s="66"/>
    </row>
    <row r="9808" spans="23:26" x14ac:dyDescent="0.25">
      <c r="W9808" s="65"/>
      <c r="X9808" s="104"/>
      <c r="Y9808" s="54"/>
      <c r="Z9808" s="66"/>
    </row>
    <row r="9809" spans="23:26" x14ac:dyDescent="0.25">
      <c r="W9809" s="65"/>
      <c r="X9809" s="104"/>
      <c r="Y9809" s="54"/>
      <c r="Z9809" s="66"/>
    </row>
    <row r="9810" spans="23:26" x14ac:dyDescent="0.25">
      <c r="W9810" s="65"/>
      <c r="X9810" s="104"/>
      <c r="Y9810" s="54"/>
      <c r="Z9810" s="66"/>
    </row>
    <row r="9811" spans="23:26" x14ac:dyDescent="0.25">
      <c r="W9811" s="65"/>
      <c r="X9811" s="104"/>
      <c r="Y9811" s="54"/>
      <c r="Z9811" s="66"/>
    </row>
    <row r="9812" spans="23:26" x14ac:dyDescent="0.25">
      <c r="W9812" s="65"/>
      <c r="X9812" s="104"/>
      <c r="Y9812" s="54"/>
      <c r="Z9812" s="66"/>
    </row>
    <row r="9813" spans="23:26" x14ac:dyDescent="0.25">
      <c r="W9813" s="65"/>
      <c r="X9813" s="104"/>
      <c r="Y9813" s="54"/>
      <c r="Z9813" s="66"/>
    </row>
    <row r="9814" spans="23:26" x14ac:dyDescent="0.25">
      <c r="W9814" s="65"/>
      <c r="X9814" s="104"/>
      <c r="Y9814" s="54"/>
      <c r="Z9814" s="66"/>
    </row>
    <row r="9815" spans="23:26" x14ac:dyDescent="0.25">
      <c r="W9815" s="65"/>
      <c r="X9815" s="104"/>
      <c r="Y9815" s="54"/>
      <c r="Z9815" s="66"/>
    </row>
    <row r="9816" spans="23:26" x14ac:dyDescent="0.25">
      <c r="W9816" s="65"/>
      <c r="X9816" s="104"/>
      <c r="Y9816" s="54"/>
      <c r="Z9816" s="66"/>
    </row>
    <row r="9817" spans="23:26" x14ac:dyDescent="0.25">
      <c r="W9817" s="65"/>
      <c r="X9817" s="104"/>
      <c r="Y9817" s="54"/>
      <c r="Z9817" s="66"/>
    </row>
    <row r="9818" spans="23:26" x14ac:dyDescent="0.25">
      <c r="W9818" s="65"/>
      <c r="X9818" s="104"/>
      <c r="Y9818" s="54"/>
      <c r="Z9818" s="66"/>
    </row>
    <row r="9819" spans="23:26" x14ac:dyDescent="0.25">
      <c r="W9819" s="65"/>
      <c r="X9819" s="104"/>
      <c r="Y9819" s="54"/>
      <c r="Z9819" s="66"/>
    </row>
    <row r="9820" spans="23:26" x14ac:dyDescent="0.25">
      <c r="W9820" s="65"/>
      <c r="X9820" s="104"/>
      <c r="Y9820" s="54"/>
      <c r="Z9820" s="66"/>
    </row>
    <row r="9821" spans="23:26" x14ac:dyDescent="0.25">
      <c r="W9821" s="65"/>
      <c r="X9821" s="104"/>
      <c r="Y9821" s="54"/>
      <c r="Z9821" s="66"/>
    </row>
    <row r="9822" spans="23:26" x14ac:dyDescent="0.25">
      <c r="W9822" s="65"/>
      <c r="X9822" s="104"/>
      <c r="Y9822" s="54"/>
      <c r="Z9822" s="66"/>
    </row>
    <row r="9823" spans="23:26" x14ac:dyDescent="0.25">
      <c r="W9823" s="65"/>
      <c r="X9823" s="104"/>
      <c r="Y9823" s="54"/>
      <c r="Z9823" s="66"/>
    </row>
    <row r="9824" spans="23:26" x14ac:dyDescent="0.25">
      <c r="W9824" s="65"/>
      <c r="X9824" s="104"/>
      <c r="Y9824" s="54"/>
      <c r="Z9824" s="66"/>
    </row>
    <row r="9825" spans="23:26" x14ac:dyDescent="0.25">
      <c r="W9825" s="65"/>
      <c r="X9825" s="104"/>
      <c r="Y9825" s="54"/>
      <c r="Z9825" s="66"/>
    </row>
    <row r="9826" spans="23:26" x14ac:dyDescent="0.25">
      <c r="W9826" s="65"/>
      <c r="X9826" s="104"/>
      <c r="Y9826" s="54"/>
      <c r="Z9826" s="66"/>
    </row>
    <row r="9827" spans="23:26" x14ac:dyDescent="0.25">
      <c r="W9827" s="65"/>
      <c r="X9827" s="104"/>
      <c r="Y9827" s="54"/>
      <c r="Z9827" s="66"/>
    </row>
    <row r="9828" spans="23:26" x14ac:dyDescent="0.25">
      <c r="W9828" s="65"/>
      <c r="X9828" s="104"/>
      <c r="Y9828" s="54"/>
      <c r="Z9828" s="66"/>
    </row>
    <row r="9829" spans="23:26" x14ac:dyDescent="0.25">
      <c r="W9829" s="65"/>
      <c r="X9829" s="104"/>
      <c r="Y9829" s="54"/>
      <c r="Z9829" s="66"/>
    </row>
    <row r="9830" spans="23:26" x14ac:dyDescent="0.25">
      <c r="W9830" s="65"/>
      <c r="X9830" s="104"/>
      <c r="Y9830" s="54"/>
      <c r="Z9830" s="66"/>
    </row>
    <row r="9831" spans="23:26" x14ac:dyDescent="0.25">
      <c r="W9831" s="65"/>
      <c r="X9831" s="104"/>
      <c r="Y9831" s="54"/>
      <c r="Z9831" s="66"/>
    </row>
    <row r="9832" spans="23:26" x14ac:dyDescent="0.25">
      <c r="W9832" s="65"/>
      <c r="X9832" s="104"/>
      <c r="Y9832" s="54"/>
      <c r="Z9832" s="66"/>
    </row>
    <row r="9833" spans="23:26" x14ac:dyDescent="0.25">
      <c r="W9833" s="65"/>
      <c r="X9833" s="104"/>
      <c r="Y9833" s="54"/>
      <c r="Z9833" s="66"/>
    </row>
    <row r="9834" spans="23:26" x14ac:dyDescent="0.25">
      <c r="W9834" s="65"/>
      <c r="X9834" s="104"/>
      <c r="Y9834" s="54"/>
      <c r="Z9834" s="66"/>
    </row>
    <row r="9835" spans="23:26" x14ac:dyDescent="0.25">
      <c r="W9835" s="65"/>
      <c r="X9835" s="104"/>
      <c r="Y9835" s="54"/>
      <c r="Z9835" s="66"/>
    </row>
    <row r="9836" spans="23:26" x14ac:dyDescent="0.25">
      <c r="W9836" s="65"/>
      <c r="X9836" s="104"/>
      <c r="Y9836" s="54"/>
      <c r="Z9836" s="66"/>
    </row>
    <row r="9837" spans="23:26" x14ac:dyDescent="0.25">
      <c r="W9837" s="65"/>
      <c r="X9837" s="104"/>
      <c r="Y9837" s="54"/>
      <c r="Z9837" s="66"/>
    </row>
    <row r="9838" spans="23:26" x14ac:dyDescent="0.25">
      <c r="W9838" s="65"/>
      <c r="X9838" s="104"/>
      <c r="Y9838" s="54"/>
      <c r="Z9838" s="66"/>
    </row>
    <row r="9839" spans="23:26" x14ac:dyDescent="0.25">
      <c r="W9839" s="65"/>
      <c r="X9839" s="104"/>
      <c r="Y9839" s="54"/>
      <c r="Z9839" s="66"/>
    </row>
    <row r="9840" spans="23:26" x14ac:dyDescent="0.25">
      <c r="W9840" s="65"/>
      <c r="X9840" s="104"/>
      <c r="Y9840" s="54"/>
      <c r="Z9840" s="66"/>
    </row>
    <row r="9841" spans="23:26" x14ac:dyDescent="0.25">
      <c r="W9841" s="65"/>
      <c r="X9841" s="104"/>
      <c r="Y9841" s="54"/>
      <c r="Z9841" s="66"/>
    </row>
    <row r="9842" spans="23:26" x14ac:dyDescent="0.25">
      <c r="W9842" s="65"/>
      <c r="X9842" s="104"/>
      <c r="Y9842" s="54"/>
      <c r="Z9842" s="66"/>
    </row>
    <row r="9843" spans="23:26" x14ac:dyDescent="0.25">
      <c r="W9843" s="65"/>
      <c r="X9843" s="104"/>
      <c r="Y9843" s="54"/>
      <c r="Z9843" s="66"/>
    </row>
    <row r="9844" spans="23:26" x14ac:dyDescent="0.25">
      <c r="W9844" s="65"/>
      <c r="X9844" s="104"/>
      <c r="Y9844" s="54"/>
      <c r="Z9844" s="66"/>
    </row>
    <row r="9845" spans="23:26" x14ac:dyDescent="0.25">
      <c r="W9845" s="65"/>
      <c r="X9845" s="104"/>
      <c r="Y9845" s="54"/>
      <c r="Z9845" s="66"/>
    </row>
    <row r="9846" spans="23:26" x14ac:dyDescent="0.25">
      <c r="W9846" s="65"/>
      <c r="X9846" s="104"/>
      <c r="Y9846" s="54"/>
      <c r="Z9846" s="66"/>
    </row>
    <row r="9847" spans="23:26" x14ac:dyDescent="0.25">
      <c r="W9847" s="65"/>
      <c r="X9847" s="104"/>
      <c r="Y9847" s="54"/>
      <c r="Z9847" s="66"/>
    </row>
    <row r="9848" spans="23:26" x14ac:dyDescent="0.25">
      <c r="W9848" s="65"/>
      <c r="X9848" s="104"/>
      <c r="Y9848" s="54"/>
      <c r="Z9848" s="66"/>
    </row>
    <row r="9849" spans="23:26" x14ac:dyDescent="0.25">
      <c r="W9849" s="65"/>
      <c r="X9849" s="104"/>
      <c r="Y9849" s="54"/>
      <c r="Z9849" s="66"/>
    </row>
    <row r="9850" spans="23:26" x14ac:dyDescent="0.25">
      <c r="W9850" s="65"/>
      <c r="X9850" s="104"/>
      <c r="Y9850" s="54"/>
      <c r="Z9850" s="66"/>
    </row>
    <row r="9851" spans="23:26" x14ac:dyDescent="0.25">
      <c r="W9851" s="65"/>
      <c r="X9851" s="104"/>
      <c r="Y9851" s="54"/>
      <c r="Z9851" s="66"/>
    </row>
    <row r="9852" spans="23:26" x14ac:dyDescent="0.25">
      <c r="W9852" s="65"/>
      <c r="X9852" s="104"/>
      <c r="Y9852" s="54"/>
      <c r="Z9852" s="66"/>
    </row>
    <row r="9853" spans="23:26" x14ac:dyDescent="0.25">
      <c r="W9853" s="65"/>
      <c r="X9853" s="104"/>
      <c r="Y9853" s="54"/>
      <c r="Z9853" s="66"/>
    </row>
    <row r="9854" spans="23:26" x14ac:dyDescent="0.25">
      <c r="W9854" s="65"/>
      <c r="X9854" s="104"/>
      <c r="Y9854" s="54"/>
      <c r="Z9854" s="66"/>
    </row>
    <row r="9855" spans="23:26" x14ac:dyDescent="0.25">
      <c r="W9855" s="65"/>
      <c r="X9855" s="104"/>
      <c r="Y9855" s="54"/>
      <c r="Z9855" s="66"/>
    </row>
    <row r="9856" spans="23:26" x14ac:dyDescent="0.25">
      <c r="W9856" s="65"/>
      <c r="X9856" s="104"/>
      <c r="Y9856" s="54"/>
      <c r="Z9856" s="66"/>
    </row>
    <row r="9857" spans="23:26" x14ac:dyDescent="0.25">
      <c r="W9857" s="65"/>
      <c r="X9857" s="104"/>
      <c r="Y9857" s="54"/>
      <c r="Z9857" s="66"/>
    </row>
    <row r="9858" spans="23:26" x14ac:dyDescent="0.25">
      <c r="W9858" s="65"/>
      <c r="X9858" s="104"/>
      <c r="Y9858" s="54"/>
      <c r="Z9858" s="66"/>
    </row>
    <row r="9859" spans="23:26" x14ac:dyDescent="0.25">
      <c r="W9859" s="65"/>
      <c r="X9859" s="104"/>
      <c r="Y9859" s="54"/>
      <c r="Z9859" s="66"/>
    </row>
    <row r="9860" spans="23:26" x14ac:dyDescent="0.25">
      <c r="W9860" s="65"/>
      <c r="X9860" s="104"/>
      <c r="Y9860" s="54"/>
      <c r="Z9860" s="66"/>
    </row>
    <row r="9861" spans="23:26" x14ac:dyDescent="0.25">
      <c r="W9861" s="65"/>
      <c r="X9861" s="104"/>
      <c r="Y9861" s="54"/>
      <c r="Z9861" s="66"/>
    </row>
    <row r="9862" spans="23:26" x14ac:dyDescent="0.25">
      <c r="W9862" s="65"/>
      <c r="X9862" s="104"/>
      <c r="Y9862" s="54"/>
      <c r="Z9862" s="66"/>
    </row>
    <row r="9863" spans="23:26" x14ac:dyDescent="0.25">
      <c r="W9863" s="65"/>
      <c r="X9863" s="104"/>
      <c r="Y9863" s="54"/>
      <c r="Z9863" s="66"/>
    </row>
    <row r="9864" spans="23:26" x14ac:dyDescent="0.25">
      <c r="W9864" s="65"/>
      <c r="X9864" s="104"/>
      <c r="Y9864" s="54"/>
      <c r="Z9864" s="66"/>
    </row>
    <row r="9865" spans="23:26" x14ac:dyDescent="0.25">
      <c r="W9865" s="65"/>
      <c r="X9865" s="104"/>
      <c r="Y9865" s="54"/>
      <c r="Z9865" s="66"/>
    </row>
    <row r="9866" spans="23:26" x14ac:dyDescent="0.25">
      <c r="W9866" s="65"/>
      <c r="X9866" s="104"/>
      <c r="Y9866" s="54"/>
      <c r="Z9866" s="66"/>
    </row>
    <row r="9867" spans="23:26" x14ac:dyDescent="0.25">
      <c r="W9867" s="65"/>
      <c r="X9867" s="104"/>
      <c r="Y9867" s="54"/>
      <c r="Z9867" s="66"/>
    </row>
    <row r="9868" spans="23:26" x14ac:dyDescent="0.25">
      <c r="W9868" s="65"/>
      <c r="X9868" s="104"/>
      <c r="Y9868" s="54"/>
      <c r="Z9868" s="66"/>
    </row>
    <row r="9869" spans="23:26" x14ac:dyDescent="0.25">
      <c r="W9869" s="65"/>
      <c r="X9869" s="104"/>
      <c r="Y9869" s="54"/>
      <c r="Z9869" s="66"/>
    </row>
    <row r="9870" spans="23:26" x14ac:dyDescent="0.25">
      <c r="W9870" s="65"/>
      <c r="X9870" s="104"/>
      <c r="Y9870" s="54"/>
      <c r="Z9870" s="66"/>
    </row>
    <row r="9871" spans="23:26" x14ac:dyDescent="0.25">
      <c r="W9871" s="65"/>
      <c r="X9871" s="104"/>
      <c r="Y9871" s="54"/>
      <c r="Z9871" s="66"/>
    </row>
    <row r="9872" spans="23:26" x14ac:dyDescent="0.25">
      <c r="W9872" s="65"/>
      <c r="X9872" s="104"/>
      <c r="Y9872" s="54"/>
      <c r="Z9872" s="66"/>
    </row>
    <row r="9873" spans="23:26" x14ac:dyDescent="0.25">
      <c r="W9873" s="65"/>
      <c r="X9873" s="104"/>
      <c r="Y9873" s="54"/>
      <c r="Z9873" s="66"/>
    </row>
    <row r="9874" spans="23:26" x14ac:dyDescent="0.25">
      <c r="W9874" s="65"/>
      <c r="X9874" s="104"/>
      <c r="Y9874" s="54"/>
      <c r="Z9874" s="66"/>
    </row>
    <row r="9875" spans="23:26" x14ac:dyDescent="0.25">
      <c r="W9875" s="65"/>
      <c r="X9875" s="104"/>
      <c r="Y9875" s="54"/>
      <c r="Z9875" s="66"/>
    </row>
    <row r="9876" spans="23:26" x14ac:dyDescent="0.25">
      <c r="W9876" s="65"/>
      <c r="X9876" s="104"/>
      <c r="Y9876" s="54"/>
      <c r="Z9876" s="66"/>
    </row>
    <row r="9877" spans="23:26" x14ac:dyDescent="0.25">
      <c r="W9877" s="65"/>
      <c r="X9877" s="104"/>
      <c r="Y9877" s="54"/>
      <c r="Z9877" s="66"/>
    </row>
    <row r="9878" spans="23:26" x14ac:dyDescent="0.25">
      <c r="W9878" s="65"/>
      <c r="X9878" s="104"/>
      <c r="Y9878" s="54"/>
      <c r="Z9878" s="66"/>
    </row>
    <row r="9879" spans="23:26" x14ac:dyDescent="0.25">
      <c r="W9879" s="65"/>
      <c r="X9879" s="104"/>
      <c r="Y9879" s="54"/>
      <c r="Z9879" s="66"/>
    </row>
    <row r="9880" spans="23:26" x14ac:dyDescent="0.25">
      <c r="W9880" s="65"/>
      <c r="X9880" s="104"/>
      <c r="Y9880" s="54"/>
      <c r="Z9880" s="66"/>
    </row>
    <row r="9881" spans="23:26" x14ac:dyDescent="0.25">
      <c r="W9881" s="65"/>
      <c r="X9881" s="104"/>
      <c r="Y9881" s="54"/>
      <c r="Z9881" s="66"/>
    </row>
    <row r="9882" spans="23:26" x14ac:dyDescent="0.25">
      <c r="W9882" s="65"/>
      <c r="X9882" s="104"/>
      <c r="Y9882" s="54"/>
      <c r="Z9882" s="66"/>
    </row>
    <row r="9883" spans="23:26" x14ac:dyDescent="0.25">
      <c r="W9883" s="65"/>
      <c r="X9883" s="104"/>
      <c r="Y9883" s="54"/>
      <c r="Z9883" s="66"/>
    </row>
    <row r="9884" spans="23:26" x14ac:dyDescent="0.25">
      <c r="W9884" s="65"/>
      <c r="X9884" s="104"/>
      <c r="Y9884" s="54"/>
      <c r="Z9884" s="66"/>
    </row>
    <row r="9885" spans="23:26" x14ac:dyDescent="0.25">
      <c r="W9885" s="65"/>
      <c r="X9885" s="104"/>
      <c r="Y9885" s="54"/>
      <c r="Z9885" s="66"/>
    </row>
    <row r="9886" spans="23:26" x14ac:dyDescent="0.25">
      <c r="W9886" s="65"/>
      <c r="X9886" s="104"/>
      <c r="Y9886" s="54"/>
      <c r="Z9886" s="66"/>
    </row>
    <row r="9887" spans="23:26" x14ac:dyDescent="0.25">
      <c r="W9887" s="65"/>
      <c r="X9887" s="104"/>
      <c r="Y9887" s="54"/>
      <c r="Z9887" s="66"/>
    </row>
    <row r="9888" spans="23:26" x14ac:dyDescent="0.25">
      <c r="W9888" s="65"/>
      <c r="X9888" s="104"/>
      <c r="Y9888" s="54"/>
      <c r="Z9888" s="66"/>
    </row>
    <row r="9889" spans="23:26" x14ac:dyDescent="0.25">
      <c r="W9889" s="65"/>
      <c r="X9889" s="104"/>
      <c r="Y9889" s="54"/>
      <c r="Z9889" s="66"/>
    </row>
    <row r="9890" spans="23:26" x14ac:dyDescent="0.25">
      <c r="W9890" s="65"/>
      <c r="X9890" s="104"/>
      <c r="Y9890" s="54"/>
      <c r="Z9890" s="66"/>
    </row>
    <row r="9891" spans="23:26" x14ac:dyDescent="0.25">
      <c r="W9891" s="65"/>
      <c r="X9891" s="104"/>
      <c r="Y9891" s="54"/>
      <c r="Z9891" s="66"/>
    </row>
    <row r="9892" spans="23:26" x14ac:dyDescent="0.25">
      <c r="W9892" s="65"/>
      <c r="X9892" s="104"/>
      <c r="Y9892" s="54"/>
      <c r="Z9892" s="66"/>
    </row>
    <row r="9893" spans="23:26" x14ac:dyDescent="0.25">
      <c r="W9893" s="65"/>
      <c r="X9893" s="104"/>
      <c r="Y9893" s="54"/>
      <c r="Z9893" s="66"/>
    </row>
    <row r="9894" spans="23:26" x14ac:dyDescent="0.25">
      <c r="W9894" s="65"/>
      <c r="X9894" s="104"/>
      <c r="Y9894" s="54"/>
      <c r="Z9894" s="66"/>
    </row>
    <row r="9895" spans="23:26" x14ac:dyDescent="0.25">
      <c r="W9895" s="65"/>
      <c r="X9895" s="104"/>
      <c r="Y9895" s="54"/>
      <c r="Z9895" s="66"/>
    </row>
    <row r="9896" spans="23:26" x14ac:dyDescent="0.25">
      <c r="W9896" s="65"/>
      <c r="X9896" s="104"/>
      <c r="Y9896" s="54"/>
      <c r="Z9896" s="66"/>
    </row>
    <row r="9897" spans="23:26" x14ac:dyDescent="0.25">
      <c r="W9897" s="65"/>
      <c r="X9897" s="104"/>
      <c r="Y9897" s="54"/>
      <c r="Z9897" s="66"/>
    </row>
    <row r="9898" spans="23:26" x14ac:dyDescent="0.25">
      <c r="W9898" s="65"/>
      <c r="X9898" s="104"/>
      <c r="Y9898" s="54"/>
      <c r="Z9898" s="66"/>
    </row>
    <row r="9899" spans="23:26" x14ac:dyDescent="0.25">
      <c r="W9899" s="65"/>
      <c r="X9899" s="104"/>
      <c r="Y9899" s="54"/>
      <c r="Z9899" s="66"/>
    </row>
    <row r="9900" spans="23:26" x14ac:dyDescent="0.25">
      <c r="W9900" s="65"/>
      <c r="X9900" s="104"/>
      <c r="Y9900" s="54"/>
      <c r="Z9900" s="66"/>
    </row>
    <row r="9901" spans="23:26" x14ac:dyDescent="0.25">
      <c r="W9901" s="65"/>
      <c r="X9901" s="104"/>
      <c r="Y9901" s="54"/>
      <c r="Z9901" s="66"/>
    </row>
    <row r="9902" spans="23:26" x14ac:dyDescent="0.25">
      <c r="W9902" s="65"/>
      <c r="X9902" s="104"/>
      <c r="Y9902" s="54"/>
      <c r="Z9902" s="66"/>
    </row>
    <row r="9903" spans="23:26" x14ac:dyDescent="0.25">
      <c r="W9903" s="65"/>
      <c r="X9903" s="104"/>
      <c r="Y9903" s="54"/>
      <c r="Z9903" s="66"/>
    </row>
    <row r="9904" spans="23:26" x14ac:dyDescent="0.25">
      <c r="W9904" s="65"/>
      <c r="X9904" s="104"/>
      <c r="Y9904" s="54"/>
      <c r="Z9904" s="66"/>
    </row>
    <row r="9905" spans="23:26" x14ac:dyDescent="0.25">
      <c r="W9905" s="65"/>
      <c r="X9905" s="104"/>
      <c r="Y9905" s="54"/>
      <c r="Z9905" s="66"/>
    </row>
    <row r="9906" spans="23:26" x14ac:dyDescent="0.25">
      <c r="W9906" s="65"/>
      <c r="X9906" s="104"/>
      <c r="Y9906" s="54"/>
      <c r="Z9906" s="66"/>
    </row>
    <row r="9907" spans="23:26" x14ac:dyDescent="0.25">
      <c r="W9907" s="65"/>
      <c r="X9907" s="104"/>
      <c r="Y9907" s="54"/>
      <c r="Z9907" s="66"/>
    </row>
    <row r="9908" spans="23:26" x14ac:dyDescent="0.25">
      <c r="W9908" s="65"/>
      <c r="X9908" s="104"/>
      <c r="Y9908" s="54"/>
      <c r="Z9908" s="66"/>
    </row>
    <row r="9909" spans="23:26" x14ac:dyDescent="0.25">
      <c r="W9909" s="65"/>
      <c r="X9909" s="104"/>
      <c r="Y9909" s="54"/>
      <c r="Z9909" s="66"/>
    </row>
    <row r="9910" spans="23:26" x14ac:dyDescent="0.25">
      <c r="W9910" s="65"/>
      <c r="X9910" s="104"/>
      <c r="Y9910" s="54"/>
      <c r="Z9910" s="66"/>
    </row>
    <row r="9911" spans="23:26" x14ac:dyDescent="0.25">
      <c r="W9911" s="65"/>
      <c r="X9911" s="104"/>
      <c r="Y9911" s="54"/>
      <c r="Z9911" s="66"/>
    </row>
    <row r="9912" spans="23:26" x14ac:dyDescent="0.25">
      <c r="W9912" s="65"/>
      <c r="X9912" s="104"/>
      <c r="Y9912" s="54"/>
      <c r="Z9912" s="66"/>
    </row>
    <row r="9913" spans="23:26" x14ac:dyDescent="0.25">
      <c r="W9913" s="65"/>
      <c r="X9913" s="104"/>
      <c r="Y9913" s="54"/>
      <c r="Z9913" s="66"/>
    </row>
    <row r="9914" spans="23:26" x14ac:dyDescent="0.25">
      <c r="W9914" s="65"/>
      <c r="X9914" s="104"/>
      <c r="Y9914" s="54"/>
      <c r="Z9914" s="66"/>
    </row>
    <row r="9915" spans="23:26" x14ac:dyDescent="0.25">
      <c r="W9915" s="65"/>
      <c r="X9915" s="104"/>
      <c r="Y9915" s="54"/>
      <c r="Z9915" s="66"/>
    </row>
    <row r="9916" spans="23:26" x14ac:dyDescent="0.25">
      <c r="W9916" s="65"/>
      <c r="X9916" s="104"/>
      <c r="Y9916" s="54"/>
      <c r="Z9916" s="66"/>
    </row>
    <row r="9917" spans="23:26" x14ac:dyDescent="0.25">
      <c r="W9917" s="65"/>
      <c r="X9917" s="104"/>
      <c r="Y9917" s="54"/>
      <c r="Z9917" s="66"/>
    </row>
    <row r="9918" spans="23:26" x14ac:dyDescent="0.25">
      <c r="W9918" s="65"/>
      <c r="X9918" s="104"/>
      <c r="Y9918" s="54"/>
      <c r="Z9918" s="66"/>
    </row>
    <row r="9919" spans="23:26" x14ac:dyDescent="0.25">
      <c r="W9919" s="65"/>
      <c r="X9919" s="104"/>
      <c r="Y9919" s="54"/>
      <c r="Z9919" s="66"/>
    </row>
    <row r="9920" spans="23:26" x14ac:dyDescent="0.25">
      <c r="W9920" s="65"/>
      <c r="X9920" s="104"/>
      <c r="Y9920" s="54"/>
      <c r="Z9920" s="66"/>
    </row>
    <row r="9921" spans="23:26" x14ac:dyDescent="0.25">
      <c r="W9921" s="65"/>
      <c r="X9921" s="104"/>
      <c r="Y9921" s="54"/>
      <c r="Z9921" s="66"/>
    </row>
    <row r="9922" spans="23:26" x14ac:dyDescent="0.25">
      <c r="W9922" s="65"/>
      <c r="X9922" s="104"/>
      <c r="Y9922" s="54"/>
      <c r="Z9922" s="66"/>
    </row>
    <row r="9923" spans="23:26" x14ac:dyDescent="0.25">
      <c r="W9923" s="65"/>
      <c r="X9923" s="104"/>
      <c r="Y9923" s="54"/>
      <c r="Z9923" s="66"/>
    </row>
    <row r="9924" spans="23:26" x14ac:dyDescent="0.25">
      <c r="W9924" s="65"/>
      <c r="X9924" s="104"/>
      <c r="Y9924" s="54"/>
      <c r="Z9924" s="66"/>
    </row>
    <row r="9925" spans="23:26" x14ac:dyDescent="0.25">
      <c r="W9925" s="65"/>
      <c r="X9925" s="104"/>
      <c r="Y9925" s="54"/>
      <c r="Z9925" s="66"/>
    </row>
    <row r="9926" spans="23:26" x14ac:dyDescent="0.25">
      <c r="W9926" s="65"/>
      <c r="X9926" s="104"/>
      <c r="Y9926" s="54"/>
      <c r="Z9926" s="66"/>
    </row>
    <row r="9927" spans="23:26" x14ac:dyDescent="0.25">
      <c r="W9927" s="65"/>
      <c r="X9927" s="104"/>
      <c r="Y9927" s="54"/>
      <c r="Z9927" s="66"/>
    </row>
    <row r="9928" spans="23:26" x14ac:dyDescent="0.25">
      <c r="W9928" s="65"/>
      <c r="X9928" s="104"/>
      <c r="Y9928" s="54"/>
      <c r="Z9928" s="66"/>
    </row>
    <row r="9929" spans="23:26" x14ac:dyDescent="0.25">
      <c r="W9929" s="65"/>
      <c r="X9929" s="104"/>
      <c r="Y9929" s="54"/>
      <c r="Z9929" s="66"/>
    </row>
    <row r="9930" spans="23:26" x14ac:dyDescent="0.25">
      <c r="W9930" s="65"/>
      <c r="X9930" s="104"/>
      <c r="Y9930" s="54"/>
      <c r="Z9930" s="66"/>
    </row>
    <row r="9931" spans="23:26" x14ac:dyDescent="0.25">
      <c r="W9931" s="65"/>
      <c r="X9931" s="104"/>
      <c r="Y9931" s="54"/>
      <c r="Z9931" s="66"/>
    </row>
    <row r="9932" spans="23:26" x14ac:dyDescent="0.25">
      <c r="W9932" s="65"/>
      <c r="X9932" s="104"/>
      <c r="Y9932" s="54"/>
      <c r="Z9932" s="66"/>
    </row>
    <row r="9933" spans="23:26" x14ac:dyDescent="0.25">
      <c r="W9933" s="65"/>
      <c r="X9933" s="104"/>
      <c r="Y9933" s="54"/>
      <c r="Z9933" s="66"/>
    </row>
    <row r="9934" spans="23:26" x14ac:dyDescent="0.25">
      <c r="W9934" s="65"/>
      <c r="X9934" s="104"/>
      <c r="Y9934" s="54"/>
      <c r="Z9934" s="66"/>
    </row>
    <row r="9935" spans="23:26" x14ac:dyDescent="0.25">
      <c r="W9935" s="65"/>
      <c r="X9935" s="104"/>
      <c r="Y9935" s="54"/>
      <c r="Z9935" s="66"/>
    </row>
    <row r="9936" spans="23:26" x14ac:dyDescent="0.25">
      <c r="W9936" s="65"/>
      <c r="X9936" s="104"/>
      <c r="Y9936" s="54"/>
      <c r="Z9936" s="66"/>
    </row>
    <row r="9937" spans="23:26" x14ac:dyDescent="0.25">
      <c r="W9937" s="65"/>
      <c r="X9937" s="104"/>
      <c r="Y9937" s="54"/>
      <c r="Z9937" s="66"/>
    </row>
    <row r="9938" spans="23:26" x14ac:dyDescent="0.25">
      <c r="W9938" s="65"/>
      <c r="X9938" s="104"/>
      <c r="Y9938" s="54"/>
      <c r="Z9938" s="66"/>
    </row>
    <row r="9939" spans="23:26" x14ac:dyDescent="0.25">
      <c r="W9939" s="65"/>
      <c r="X9939" s="104"/>
      <c r="Y9939" s="54"/>
      <c r="Z9939" s="66"/>
    </row>
    <row r="9940" spans="23:26" x14ac:dyDescent="0.25">
      <c r="W9940" s="65"/>
      <c r="X9940" s="104"/>
      <c r="Y9940" s="54"/>
      <c r="Z9940" s="66"/>
    </row>
    <row r="9941" spans="23:26" x14ac:dyDescent="0.25">
      <c r="W9941" s="65"/>
      <c r="X9941" s="104"/>
      <c r="Y9941" s="54"/>
      <c r="Z9941" s="66"/>
    </row>
    <row r="9942" spans="23:26" x14ac:dyDescent="0.25">
      <c r="W9942" s="65"/>
      <c r="X9942" s="104"/>
      <c r="Y9942" s="54"/>
      <c r="Z9942" s="66"/>
    </row>
    <row r="9943" spans="23:26" x14ac:dyDescent="0.25">
      <c r="W9943" s="65"/>
      <c r="X9943" s="104"/>
      <c r="Y9943" s="54"/>
      <c r="Z9943" s="66"/>
    </row>
    <row r="9944" spans="23:26" x14ac:dyDescent="0.25">
      <c r="W9944" s="65"/>
      <c r="X9944" s="104"/>
      <c r="Y9944" s="54"/>
      <c r="Z9944" s="66"/>
    </row>
    <row r="9945" spans="23:26" x14ac:dyDescent="0.25">
      <c r="W9945" s="65"/>
      <c r="X9945" s="104"/>
      <c r="Y9945" s="54"/>
      <c r="Z9945" s="66"/>
    </row>
    <row r="9946" spans="23:26" x14ac:dyDescent="0.25">
      <c r="W9946" s="65"/>
      <c r="X9946" s="104"/>
      <c r="Y9946" s="54"/>
      <c r="Z9946" s="66"/>
    </row>
    <row r="9947" spans="23:26" x14ac:dyDescent="0.25">
      <c r="W9947" s="65"/>
      <c r="X9947" s="104"/>
      <c r="Y9947" s="54"/>
      <c r="Z9947" s="66"/>
    </row>
    <row r="9948" spans="23:26" x14ac:dyDescent="0.25">
      <c r="W9948" s="65"/>
      <c r="X9948" s="104"/>
      <c r="Y9948" s="54"/>
      <c r="Z9948" s="66"/>
    </row>
    <row r="9949" spans="23:26" x14ac:dyDescent="0.25">
      <c r="W9949" s="65"/>
      <c r="X9949" s="104"/>
      <c r="Y9949" s="54"/>
      <c r="Z9949" s="66"/>
    </row>
    <row r="9950" spans="23:26" x14ac:dyDescent="0.25">
      <c r="W9950" s="65"/>
      <c r="X9950" s="104"/>
      <c r="Y9950" s="54"/>
      <c r="Z9950" s="66"/>
    </row>
    <row r="9951" spans="23:26" x14ac:dyDescent="0.25">
      <c r="W9951" s="65"/>
      <c r="X9951" s="104"/>
      <c r="Y9951" s="54"/>
      <c r="Z9951" s="66"/>
    </row>
    <row r="9952" spans="23:26" x14ac:dyDescent="0.25">
      <c r="W9952" s="65"/>
      <c r="X9952" s="104"/>
      <c r="Y9952" s="54"/>
      <c r="Z9952" s="66"/>
    </row>
    <row r="9953" spans="23:26" x14ac:dyDescent="0.25">
      <c r="W9953" s="65"/>
      <c r="X9953" s="104"/>
      <c r="Y9953" s="54"/>
      <c r="Z9953" s="66"/>
    </row>
    <row r="9954" spans="23:26" x14ac:dyDescent="0.25">
      <c r="W9954" s="65"/>
      <c r="X9954" s="104"/>
      <c r="Y9954" s="54"/>
      <c r="Z9954" s="66"/>
    </row>
    <row r="9955" spans="23:26" x14ac:dyDescent="0.25">
      <c r="W9955" s="65"/>
      <c r="X9955" s="104"/>
      <c r="Y9955" s="54"/>
      <c r="Z9955" s="66"/>
    </row>
    <row r="9956" spans="23:26" x14ac:dyDescent="0.25">
      <c r="W9956" s="65"/>
      <c r="X9956" s="104"/>
      <c r="Y9956" s="54"/>
      <c r="Z9956" s="66"/>
    </row>
    <row r="9957" spans="23:26" x14ac:dyDescent="0.25">
      <c r="W9957" s="65"/>
      <c r="X9957" s="104"/>
      <c r="Y9957" s="54"/>
      <c r="Z9957" s="66"/>
    </row>
    <row r="9958" spans="23:26" x14ac:dyDescent="0.25">
      <c r="W9958" s="65"/>
      <c r="X9958" s="104"/>
      <c r="Y9958" s="54"/>
      <c r="Z9958" s="66"/>
    </row>
    <row r="9959" spans="23:26" x14ac:dyDescent="0.25">
      <c r="W9959" s="65"/>
      <c r="X9959" s="104"/>
      <c r="Y9959" s="54"/>
      <c r="Z9959" s="66"/>
    </row>
    <row r="9960" spans="23:26" x14ac:dyDescent="0.25">
      <c r="W9960" s="65"/>
      <c r="X9960" s="104"/>
      <c r="Y9960" s="54"/>
      <c r="Z9960" s="66"/>
    </row>
    <row r="9961" spans="23:26" x14ac:dyDescent="0.25">
      <c r="W9961" s="65"/>
      <c r="X9961" s="104"/>
      <c r="Y9961" s="54"/>
      <c r="Z9961" s="66"/>
    </row>
    <row r="9962" spans="23:26" x14ac:dyDescent="0.25">
      <c r="W9962" s="65"/>
      <c r="X9962" s="104"/>
      <c r="Y9962" s="54"/>
      <c r="Z9962" s="66"/>
    </row>
    <row r="9963" spans="23:26" x14ac:dyDescent="0.25">
      <c r="W9963" s="65"/>
      <c r="X9963" s="104"/>
      <c r="Y9963" s="54"/>
      <c r="Z9963" s="66"/>
    </row>
    <row r="9964" spans="23:26" x14ac:dyDescent="0.25">
      <c r="W9964" s="65"/>
      <c r="X9964" s="104"/>
      <c r="Y9964" s="54"/>
      <c r="Z9964" s="66"/>
    </row>
    <row r="9965" spans="23:26" x14ac:dyDescent="0.25">
      <c r="W9965" s="65"/>
      <c r="X9965" s="104"/>
      <c r="Y9965" s="54"/>
      <c r="Z9965" s="66"/>
    </row>
    <row r="9966" spans="23:26" x14ac:dyDescent="0.25">
      <c r="W9966" s="65"/>
      <c r="X9966" s="104"/>
      <c r="Y9966" s="54"/>
      <c r="Z9966" s="66"/>
    </row>
    <row r="9967" spans="23:26" x14ac:dyDescent="0.25">
      <c r="W9967" s="65"/>
      <c r="X9967" s="104"/>
      <c r="Y9967" s="54"/>
      <c r="Z9967" s="66"/>
    </row>
    <row r="9968" spans="23:26" x14ac:dyDescent="0.25">
      <c r="W9968" s="65"/>
      <c r="X9968" s="104"/>
      <c r="Y9968" s="54"/>
      <c r="Z9968" s="66"/>
    </row>
    <row r="9969" spans="23:26" x14ac:dyDescent="0.25">
      <c r="W9969" s="65"/>
      <c r="X9969" s="104"/>
      <c r="Y9969" s="54"/>
      <c r="Z9969" s="66"/>
    </row>
    <row r="9970" spans="23:26" x14ac:dyDescent="0.25">
      <c r="W9970" s="65"/>
      <c r="X9970" s="104"/>
      <c r="Y9970" s="54"/>
      <c r="Z9970" s="66"/>
    </row>
    <row r="9971" spans="23:26" x14ac:dyDescent="0.25">
      <c r="W9971" s="65"/>
      <c r="X9971" s="104"/>
      <c r="Y9971" s="54"/>
      <c r="Z9971" s="66"/>
    </row>
    <row r="9972" spans="23:26" x14ac:dyDescent="0.25">
      <c r="W9972" s="65"/>
      <c r="X9972" s="104"/>
      <c r="Y9972" s="54"/>
      <c r="Z9972" s="66"/>
    </row>
    <row r="9973" spans="23:26" x14ac:dyDescent="0.25">
      <c r="W9973" s="65"/>
      <c r="X9973" s="104"/>
      <c r="Y9973" s="54"/>
      <c r="Z9973" s="66"/>
    </row>
    <row r="9974" spans="23:26" x14ac:dyDescent="0.25">
      <c r="W9974" s="65"/>
      <c r="X9974" s="104"/>
      <c r="Y9974" s="54"/>
      <c r="Z9974" s="66"/>
    </row>
    <row r="9975" spans="23:26" x14ac:dyDescent="0.25">
      <c r="W9975" s="65"/>
      <c r="X9975" s="104"/>
      <c r="Y9975" s="54"/>
      <c r="Z9975" s="66"/>
    </row>
    <row r="9976" spans="23:26" x14ac:dyDescent="0.25">
      <c r="W9976" s="65"/>
      <c r="X9976" s="104"/>
      <c r="Y9976" s="54"/>
      <c r="Z9976" s="66"/>
    </row>
    <row r="9977" spans="23:26" x14ac:dyDescent="0.25">
      <c r="W9977" s="65"/>
      <c r="X9977" s="104"/>
      <c r="Y9977" s="54"/>
      <c r="Z9977" s="66"/>
    </row>
    <row r="9978" spans="23:26" x14ac:dyDescent="0.25">
      <c r="W9978" s="65"/>
      <c r="X9978" s="104"/>
      <c r="Y9978" s="54"/>
      <c r="Z9978" s="66"/>
    </row>
    <row r="9979" spans="23:26" x14ac:dyDescent="0.25">
      <c r="W9979" s="65"/>
      <c r="X9979" s="104"/>
      <c r="Y9979" s="54"/>
      <c r="Z9979" s="66"/>
    </row>
    <row r="9980" spans="23:26" x14ac:dyDescent="0.25">
      <c r="W9980" s="65"/>
      <c r="X9980" s="104"/>
      <c r="Y9980" s="54"/>
      <c r="Z9980" s="66"/>
    </row>
    <row r="9981" spans="23:26" x14ac:dyDescent="0.25">
      <c r="W9981" s="65"/>
      <c r="X9981" s="104"/>
      <c r="Y9981" s="54"/>
      <c r="Z9981" s="66"/>
    </row>
    <row r="9982" spans="23:26" x14ac:dyDescent="0.25">
      <c r="W9982" s="65"/>
      <c r="X9982" s="104"/>
      <c r="Y9982" s="54"/>
      <c r="Z9982" s="66"/>
    </row>
    <row r="9983" spans="23:26" x14ac:dyDescent="0.25">
      <c r="W9983" s="65"/>
      <c r="X9983" s="104"/>
      <c r="Y9983" s="54"/>
      <c r="Z9983" s="66"/>
    </row>
    <row r="9984" spans="23:26" x14ac:dyDescent="0.25">
      <c r="W9984" s="65"/>
      <c r="X9984" s="104"/>
      <c r="Y9984" s="54"/>
      <c r="Z9984" s="66"/>
    </row>
    <row r="9985" spans="23:26" x14ac:dyDescent="0.25">
      <c r="W9985" s="65"/>
      <c r="X9985" s="104"/>
      <c r="Y9985" s="54"/>
      <c r="Z9985" s="66"/>
    </row>
    <row r="9986" spans="23:26" x14ac:dyDescent="0.25">
      <c r="W9986" s="65"/>
      <c r="X9986" s="104"/>
      <c r="Y9986" s="54"/>
      <c r="Z9986" s="66"/>
    </row>
    <row r="9987" spans="23:26" x14ac:dyDescent="0.25">
      <c r="W9987" s="65"/>
      <c r="X9987" s="104"/>
      <c r="Y9987" s="54"/>
      <c r="Z9987" s="66"/>
    </row>
    <row r="9988" spans="23:26" x14ac:dyDescent="0.25">
      <c r="W9988" s="65"/>
      <c r="X9988" s="104"/>
      <c r="Y9988" s="54"/>
      <c r="Z9988" s="66"/>
    </row>
    <row r="9989" spans="23:26" x14ac:dyDescent="0.25">
      <c r="W9989" s="65"/>
      <c r="X9989" s="104"/>
      <c r="Y9989" s="54"/>
      <c r="Z9989" s="66"/>
    </row>
    <row r="9990" spans="23:26" x14ac:dyDescent="0.25">
      <c r="W9990" s="65"/>
      <c r="X9990" s="104"/>
      <c r="Y9990" s="54"/>
      <c r="Z9990" s="66"/>
    </row>
  </sheetData>
  <autoFilter ref="A1:BV24" xr:uid="{00000000-0009-0000-0000-000002000000}">
    <filterColumn colId="23" showButton="0"/>
    <filterColumn colId="24" showButton="0"/>
  </autoFilter>
  <mergeCells count="46">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F1:F2"/>
    <mergeCell ref="G1:G2"/>
    <mergeCell ref="H1:H2"/>
    <mergeCell ref="I1:I2"/>
    <mergeCell ref="J1:J2"/>
    <mergeCell ref="K1:K2"/>
    <mergeCell ref="N1:N2"/>
    <mergeCell ref="O1:O2"/>
    <mergeCell ref="P1:P2"/>
    <mergeCell ref="L1:M1"/>
    <mergeCell ref="A1:A2"/>
    <mergeCell ref="B1:B2"/>
    <mergeCell ref="C1:C2"/>
    <mergeCell ref="D1:D2"/>
    <mergeCell ref="E1:E2"/>
  </mergeCells>
  <phoneticPr fontId="12" type="noConversion"/>
  <dataValidations disablePrompts="1"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28" t="s">
        <v>154</v>
      </c>
      <c r="C4" s="128"/>
      <c r="D4" s="26" t="s">
        <v>59</v>
      </c>
      <c r="E4" s="25" t="s">
        <v>155</v>
      </c>
    </row>
    <row r="5" spans="1:5" ht="38.25" customHeight="1" x14ac:dyDescent="0.25">
      <c r="A5" s="129" t="s">
        <v>156</v>
      </c>
      <c r="B5" s="129" t="s">
        <v>157</v>
      </c>
      <c r="C5" s="129"/>
      <c r="D5" s="28" t="s">
        <v>158</v>
      </c>
      <c r="E5" s="29" t="s">
        <v>159</v>
      </c>
    </row>
    <row r="6" spans="1:5" x14ac:dyDescent="0.25">
      <c r="A6" s="129"/>
      <c r="B6" s="129"/>
      <c r="C6" s="129"/>
      <c r="D6" s="28"/>
      <c r="E6" s="30"/>
    </row>
    <row r="7" spans="1:5" x14ac:dyDescent="0.25">
      <c r="A7" s="129"/>
      <c r="B7" s="129"/>
      <c r="C7" s="129"/>
      <c r="D7" s="28" t="s">
        <v>160</v>
      </c>
      <c r="E7" s="30" t="s">
        <v>161</v>
      </c>
    </row>
    <row r="8" spans="1:5" x14ac:dyDescent="0.25">
      <c r="A8" s="129"/>
      <c r="B8" s="129"/>
      <c r="C8" s="129"/>
      <c r="D8" s="28" t="s">
        <v>162</v>
      </c>
      <c r="E8" s="28" t="s">
        <v>162</v>
      </c>
    </row>
    <row r="9" spans="1:5" x14ac:dyDescent="0.25">
      <c r="A9" s="129"/>
      <c r="B9" s="129"/>
      <c r="C9" s="129"/>
      <c r="D9" s="28" t="s">
        <v>163</v>
      </c>
      <c r="E9" s="28" t="s">
        <v>163</v>
      </c>
    </row>
    <row r="10" spans="1:5" x14ac:dyDescent="0.25">
      <c r="A10" s="129"/>
      <c r="B10" s="129"/>
      <c r="C10" s="129"/>
      <c r="D10" s="28" t="s">
        <v>164</v>
      </c>
      <c r="E10" s="28" t="s">
        <v>164</v>
      </c>
    </row>
    <row r="11" spans="1:5" x14ac:dyDescent="0.25">
      <c r="A11" s="129"/>
      <c r="B11" s="129"/>
      <c r="C11" s="129"/>
      <c r="D11" s="31" t="s">
        <v>165</v>
      </c>
      <c r="E11" s="31" t="s">
        <v>165</v>
      </c>
    </row>
    <row r="12" spans="1:5" ht="39" customHeight="1" x14ac:dyDescent="0.25">
      <c r="A12" s="32" t="s">
        <v>156</v>
      </c>
      <c r="B12" s="129" t="s">
        <v>166</v>
      </c>
      <c r="C12" s="31" t="s">
        <v>103</v>
      </c>
      <c r="D12" s="31" t="s">
        <v>167</v>
      </c>
      <c r="E12" s="27" t="s">
        <v>168</v>
      </c>
    </row>
    <row r="13" spans="1:5" ht="38.25" x14ac:dyDescent="0.25">
      <c r="A13" s="32" t="s">
        <v>156</v>
      </c>
      <c r="B13" s="129"/>
      <c r="C13" s="31" t="s">
        <v>104</v>
      </c>
      <c r="D13" s="31" t="s">
        <v>169</v>
      </c>
      <c r="E13" s="27" t="s">
        <v>170</v>
      </c>
    </row>
    <row r="14" spans="1:5" ht="38.25" x14ac:dyDescent="0.25">
      <c r="A14" s="32" t="s">
        <v>156</v>
      </c>
      <c r="B14" s="129"/>
      <c r="C14" s="31" t="s">
        <v>105</v>
      </c>
      <c r="D14" s="31" t="s">
        <v>171</v>
      </c>
      <c r="E14" s="27" t="s">
        <v>172</v>
      </c>
    </row>
    <row r="15" spans="1:5" ht="38.25" x14ac:dyDescent="0.25">
      <c r="A15" s="32" t="s">
        <v>156</v>
      </c>
      <c r="B15" s="129"/>
      <c r="C15" s="31" t="s">
        <v>106</v>
      </c>
      <c r="D15" s="31" t="s">
        <v>173</v>
      </c>
      <c r="E15" s="27" t="s">
        <v>174</v>
      </c>
    </row>
    <row r="16" spans="1:5" ht="38.25" x14ac:dyDescent="0.25">
      <c r="A16" s="32" t="s">
        <v>156</v>
      </c>
      <c r="B16" s="129"/>
      <c r="C16" s="31" t="s">
        <v>107</v>
      </c>
      <c r="D16" s="31" t="s">
        <v>175</v>
      </c>
      <c r="E16" s="27" t="s">
        <v>176</v>
      </c>
    </row>
    <row r="17" spans="1:5" ht="26.25" customHeight="1" x14ac:dyDescent="0.25">
      <c r="A17" s="32" t="s">
        <v>156</v>
      </c>
      <c r="B17" s="129" t="s">
        <v>68</v>
      </c>
      <c r="C17" s="129"/>
      <c r="D17" s="31" t="s">
        <v>177</v>
      </c>
      <c r="E17" s="27" t="s">
        <v>178</v>
      </c>
    </row>
    <row r="18" spans="1:5" ht="26.25" customHeight="1" x14ac:dyDescent="0.25">
      <c r="A18" s="32" t="s">
        <v>179</v>
      </c>
      <c r="B18" s="129" t="s">
        <v>3</v>
      </c>
      <c r="C18" s="129"/>
      <c r="D18" s="31" t="s">
        <v>180</v>
      </c>
      <c r="E18" s="27" t="s">
        <v>181</v>
      </c>
    </row>
    <row r="19" spans="1:5" ht="13.5" customHeight="1" x14ac:dyDescent="0.25">
      <c r="A19" s="32" t="s">
        <v>179</v>
      </c>
      <c r="B19" s="129" t="s">
        <v>182</v>
      </c>
      <c r="C19" s="129"/>
      <c r="D19" s="31" t="s">
        <v>183</v>
      </c>
      <c r="E19" s="33" t="s">
        <v>184</v>
      </c>
    </row>
    <row r="20" spans="1:5" ht="13.5" customHeight="1" x14ac:dyDescent="0.25">
      <c r="A20" s="32" t="s">
        <v>179</v>
      </c>
      <c r="B20" s="129" t="s">
        <v>185</v>
      </c>
      <c r="C20" s="129"/>
      <c r="D20" s="31" t="s">
        <v>186</v>
      </c>
      <c r="E20" s="33" t="s">
        <v>187</v>
      </c>
    </row>
    <row r="21" spans="1:5" ht="13.5" customHeight="1" x14ac:dyDescent="0.25">
      <c r="A21" s="32" t="s">
        <v>179</v>
      </c>
      <c r="B21" s="129" t="s">
        <v>188</v>
      </c>
      <c r="C21" s="129"/>
      <c r="D21" s="31" t="s">
        <v>189</v>
      </c>
      <c r="E21" s="33" t="s">
        <v>190</v>
      </c>
    </row>
    <row r="22" spans="1:5" ht="13.5" customHeight="1" x14ac:dyDescent="0.25">
      <c r="A22" s="32" t="s">
        <v>179</v>
      </c>
      <c r="B22" s="129" t="s">
        <v>191</v>
      </c>
      <c r="C22" s="129"/>
      <c r="D22" s="31" t="s">
        <v>192</v>
      </c>
      <c r="E22" s="27" t="s">
        <v>193</v>
      </c>
    </row>
    <row r="23" spans="1:5" ht="12.75" customHeight="1" x14ac:dyDescent="0.25">
      <c r="A23" s="129" t="s">
        <v>156</v>
      </c>
      <c r="B23" s="129" t="s">
        <v>96</v>
      </c>
      <c r="C23" s="129"/>
      <c r="D23" s="28" t="s">
        <v>194</v>
      </c>
      <c r="E23" s="34" t="s">
        <v>195</v>
      </c>
    </row>
    <row r="24" spans="1:5" x14ac:dyDescent="0.25">
      <c r="A24" s="129"/>
      <c r="B24" s="129"/>
      <c r="C24" s="129"/>
      <c r="D24" s="28" t="s">
        <v>196</v>
      </c>
      <c r="E24" s="30" t="s">
        <v>197</v>
      </c>
    </row>
    <row r="25" spans="1:5" x14ac:dyDescent="0.25">
      <c r="A25" s="129"/>
      <c r="B25" s="129"/>
      <c r="C25" s="129"/>
      <c r="D25" s="28" t="s">
        <v>198</v>
      </c>
      <c r="E25" s="28" t="s">
        <v>198</v>
      </c>
    </row>
    <row r="26" spans="1:5" x14ac:dyDescent="0.25">
      <c r="A26" s="129"/>
      <c r="B26" s="129"/>
      <c r="C26" s="129"/>
      <c r="D26" s="28" t="s">
        <v>199</v>
      </c>
      <c r="E26" s="28" t="s">
        <v>199</v>
      </c>
    </row>
    <row r="27" spans="1:5" x14ac:dyDescent="0.25">
      <c r="A27" s="129"/>
      <c r="B27" s="129"/>
      <c r="C27" s="129"/>
      <c r="D27" s="28" t="s">
        <v>200</v>
      </c>
      <c r="E27" s="28" t="s">
        <v>200</v>
      </c>
    </row>
    <row r="28" spans="1:5" x14ac:dyDescent="0.25">
      <c r="A28" s="129"/>
      <c r="B28" s="129"/>
      <c r="C28" s="129"/>
      <c r="D28" s="28" t="s">
        <v>201</v>
      </c>
      <c r="E28" s="28" t="s">
        <v>201</v>
      </c>
    </row>
    <row r="29" spans="1:5" x14ac:dyDescent="0.25">
      <c r="A29" s="129"/>
      <c r="B29" s="129"/>
      <c r="C29" s="129"/>
      <c r="D29" s="28" t="s">
        <v>202</v>
      </c>
      <c r="E29" s="28" t="s">
        <v>202</v>
      </c>
    </row>
    <row r="30" spans="1:5" x14ac:dyDescent="0.25">
      <c r="A30" s="129"/>
      <c r="B30" s="129"/>
      <c r="C30" s="129"/>
      <c r="D30" s="28" t="s">
        <v>203</v>
      </c>
      <c r="E30" s="28" t="s">
        <v>203</v>
      </c>
    </row>
    <row r="31" spans="1:5" x14ac:dyDescent="0.25">
      <c r="A31" s="129"/>
      <c r="B31" s="129"/>
      <c r="C31" s="129"/>
      <c r="D31" s="28" t="s">
        <v>204</v>
      </c>
      <c r="E31" s="28" t="s">
        <v>204</v>
      </c>
    </row>
    <row r="32" spans="1:5" x14ac:dyDescent="0.25">
      <c r="A32" s="129"/>
      <c r="B32" s="129"/>
      <c r="C32" s="129"/>
      <c r="D32" s="28" t="s">
        <v>205</v>
      </c>
      <c r="E32" s="28" t="s">
        <v>205</v>
      </c>
    </row>
    <row r="33" spans="1:5" x14ac:dyDescent="0.25">
      <c r="A33" s="129"/>
      <c r="B33" s="129"/>
      <c r="C33" s="129"/>
      <c r="D33" s="28" t="s">
        <v>206</v>
      </c>
      <c r="E33" s="28" t="s">
        <v>207</v>
      </c>
    </row>
    <row r="34" spans="1:5" x14ac:dyDescent="0.25">
      <c r="A34" s="129"/>
      <c r="B34" s="129"/>
      <c r="C34" s="129"/>
      <c r="D34" s="28"/>
      <c r="E34" s="30"/>
    </row>
    <row r="35" spans="1:5" ht="25.5" x14ac:dyDescent="0.25">
      <c r="A35" s="129"/>
      <c r="B35" s="129"/>
      <c r="C35" s="129"/>
      <c r="D35" s="28" t="s">
        <v>208</v>
      </c>
      <c r="E35" s="30" t="s">
        <v>209</v>
      </c>
    </row>
    <row r="36" spans="1:5" x14ac:dyDescent="0.25">
      <c r="A36" s="129"/>
      <c r="B36" s="129"/>
      <c r="C36" s="129"/>
      <c r="D36" s="31" t="s">
        <v>210</v>
      </c>
      <c r="E36" s="35" t="s">
        <v>211</v>
      </c>
    </row>
    <row r="37" spans="1:5" ht="15.75" customHeight="1" x14ac:dyDescent="0.25">
      <c r="A37" s="32" t="s">
        <v>156</v>
      </c>
      <c r="B37" s="130" t="s">
        <v>70</v>
      </c>
      <c r="C37" s="130"/>
      <c r="D37" s="31" t="s">
        <v>212</v>
      </c>
      <c r="E37" s="33" t="s">
        <v>213</v>
      </c>
    </row>
    <row r="38" spans="1:5" ht="26.25" customHeight="1" x14ac:dyDescent="0.25">
      <c r="A38" s="32" t="s">
        <v>156</v>
      </c>
      <c r="B38" s="129" t="s">
        <v>48</v>
      </c>
      <c r="C38" s="129"/>
      <c r="D38" s="31" t="s">
        <v>214</v>
      </c>
      <c r="E38" s="27" t="s">
        <v>215</v>
      </c>
    </row>
    <row r="39" spans="1:5" ht="26.25" customHeight="1" x14ac:dyDescent="0.25">
      <c r="A39" s="32" t="s">
        <v>156</v>
      </c>
      <c r="B39" s="129" t="s">
        <v>59</v>
      </c>
      <c r="C39" s="129"/>
      <c r="D39" s="31" t="s">
        <v>216</v>
      </c>
      <c r="E39" s="27" t="s">
        <v>217</v>
      </c>
    </row>
    <row r="40" spans="1:5" ht="12.75" customHeight="1" x14ac:dyDescent="0.25">
      <c r="A40" s="129" t="s">
        <v>156</v>
      </c>
      <c r="B40" s="129" t="s">
        <v>50</v>
      </c>
      <c r="C40" s="129"/>
      <c r="D40" s="28" t="s">
        <v>218</v>
      </c>
      <c r="E40" s="34" t="s">
        <v>219</v>
      </c>
    </row>
    <row r="41" spans="1:5" x14ac:dyDescent="0.25">
      <c r="A41" s="129"/>
      <c r="B41" s="129"/>
      <c r="C41" s="129"/>
      <c r="D41" s="28" t="s">
        <v>220</v>
      </c>
      <c r="E41" s="30" t="s">
        <v>221</v>
      </c>
    </row>
    <row r="42" spans="1:5" x14ac:dyDescent="0.25">
      <c r="A42" s="129"/>
      <c r="B42" s="129"/>
      <c r="C42" s="129"/>
      <c r="D42" s="28" t="s">
        <v>222</v>
      </c>
      <c r="E42" s="30" t="s">
        <v>223</v>
      </c>
    </row>
    <row r="43" spans="1:5" x14ac:dyDescent="0.25">
      <c r="A43" s="129"/>
      <c r="B43" s="129"/>
      <c r="C43" s="129"/>
      <c r="D43" s="28" t="s">
        <v>224</v>
      </c>
      <c r="E43" s="30" t="s">
        <v>225</v>
      </c>
    </row>
    <row r="44" spans="1:5" x14ac:dyDescent="0.25">
      <c r="A44" s="129"/>
      <c r="B44" s="129"/>
      <c r="C44" s="129"/>
      <c r="D44" s="28" t="s">
        <v>226</v>
      </c>
      <c r="E44" s="30" t="s">
        <v>226</v>
      </c>
    </row>
    <row r="45" spans="1:5" ht="26.25" customHeight="1" x14ac:dyDescent="0.25">
      <c r="A45" s="32" t="s">
        <v>156</v>
      </c>
      <c r="B45" s="129" t="s">
        <v>78</v>
      </c>
      <c r="C45" s="129"/>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1" t="s">
        <v>237</v>
      </c>
      <c r="C49" s="31" t="s">
        <v>56</v>
      </c>
      <c r="D49" s="31" t="s">
        <v>238</v>
      </c>
      <c r="E49" s="27" t="s">
        <v>239</v>
      </c>
    </row>
    <row r="50" spans="1:5" ht="12.75" customHeight="1" x14ac:dyDescent="0.25">
      <c r="A50" s="129" t="s">
        <v>156</v>
      </c>
      <c r="B50" s="131"/>
      <c r="C50" s="132" t="s">
        <v>108</v>
      </c>
      <c r="D50" s="40" t="s">
        <v>240</v>
      </c>
      <c r="E50" s="34" t="s">
        <v>241</v>
      </c>
    </row>
    <row r="51" spans="1:5" x14ac:dyDescent="0.25">
      <c r="A51" s="129"/>
      <c r="B51" s="131"/>
      <c r="C51" s="132"/>
      <c r="D51" s="30" t="s">
        <v>242</v>
      </c>
      <c r="E51" s="30" t="s">
        <v>243</v>
      </c>
    </row>
    <row r="52" spans="1:5" x14ac:dyDescent="0.25">
      <c r="A52" s="129"/>
      <c r="B52" s="131"/>
      <c r="C52" s="132"/>
      <c r="D52" s="30" t="s">
        <v>244</v>
      </c>
      <c r="E52" s="30" t="s">
        <v>245</v>
      </c>
    </row>
    <row r="53" spans="1:5" x14ac:dyDescent="0.25">
      <c r="A53" s="129"/>
      <c r="B53" s="131"/>
      <c r="C53" s="132"/>
      <c r="D53" s="30" t="s">
        <v>246</v>
      </c>
      <c r="E53" s="30" t="s">
        <v>247</v>
      </c>
    </row>
    <row r="54" spans="1:5" x14ac:dyDescent="0.25">
      <c r="A54" s="129"/>
      <c r="B54" s="131"/>
      <c r="C54" s="132"/>
      <c r="D54" s="28"/>
      <c r="E54" s="30"/>
    </row>
    <row r="55" spans="1:5" ht="25.5" x14ac:dyDescent="0.25">
      <c r="A55" s="129"/>
      <c r="B55" s="131"/>
      <c r="C55" s="132"/>
      <c r="D55" s="31" t="s">
        <v>248</v>
      </c>
      <c r="E55" s="32" t="s">
        <v>249</v>
      </c>
    </row>
    <row r="56" spans="1:5" ht="12.75" customHeight="1" x14ac:dyDescent="0.25">
      <c r="A56" s="129" t="s">
        <v>156</v>
      </c>
      <c r="B56" s="131"/>
      <c r="C56" s="133" t="s">
        <v>109</v>
      </c>
      <c r="D56" s="28" t="s">
        <v>250</v>
      </c>
      <c r="E56" s="34" t="s">
        <v>251</v>
      </c>
    </row>
    <row r="57" spans="1:5" x14ac:dyDescent="0.25">
      <c r="A57" s="129"/>
      <c r="B57" s="131"/>
      <c r="C57" s="133"/>
      <c r="D57" s="28" t="s">
        <v>252</v>
      </c>
      <c r="E57" s="30" t="s">
        <v>253</v>
      </c>
    </row>
    <row r="58" spans="1:5" x14ac:dyDescent="0.25">
      <c r="A58" s="129"/>
      <c r="B58" s="131"/>
      <c r="C58" s="133"/>
      <c r="D58" s="31" t="s">
        <v>254</v>
      </c>
      <c r="E58" s="35" t="s">
        <v>255</v>
      </c>
    </row>
    <row r="59" spans="1:5" ht="51.75" customHeight="1" x14ac:dyDescent="0.25">
      <c r="A59" s="32" t="s">
        <v>156</v>
      </c>
      <c r="B59" s="129" t="s">
        <v>76</v>
      </c>
      <c r="C59" s="129"/>
      <c r="D59" s="31" t="s">
        <v>256</v>
      </c>
      <c r="E59" s="36" t="s">
        <v>257</v>
      </c>
    </row>
    <row r="60" spans="1:5" ht="26.25" customHeight="1" x14ac:dyDescent="0.25">
      <c r="A60" s="32" t="s">
        <v>156</v>
      </c>
      <c r="B60" s="134" t="s">
        <v>82</v>
      </c>
      <c r="C60" s="31" t="s">
        <v>56</v>
      </c>
      <c r="D60" s="31" t="s">
        <v>238</v>
      </c>
      <c r="E60" s="27" t="s">
        <v>239</v>
      </c>
    </row>
    <row r="61" spans="1:5" ht="12.75" customHeight="1" x14ac:dyDescent="0.25">
      <c r="A61" s="129" t="s">
        <v>156</v>
      </c>
      <c r="B61" s="134"/>
      <c r="C61" s="129" t="s">
        <v>108</v>
      </c>
      <c r="D61" s="40" t="s">
        <v>240</v>
      </c>
      <c r="E61" s="34" t="s">
        <v>241</v>
      </c>
    </row>
    <row r="62" spans="1:5" x14ac:dyDescent="0.25">
      <c r="A62" s="129"/>
      <c r="B62" s="129"/>
      <c r="C62" s="129"/>
      <c r="D62" s="30" t="s">
        <v>242</v>
      </c>
      <c r="E62" s="30" t="s">
        <v>243</v>
      </c>
    </row>
    <row r="63" spans="1:5" x14ac:dyDescent="0.25">
      <c r="A63" s="129"/>
      <c r="B63" s="129"/>
      <c r="C63" s="129"/>
      <c r="D63" s="30" t="s">
        <v>244</v>
      </c>
      <c r="E63" s="30" t="s">
        <v>245</v>
      </c>
    </row>
    <row r="64" spans="1:5" x14ac:dyDescent="0.25">
      <c r="A64" s="129"/>
      <c r="B64" s="129"/>
      <c r="C64" s="129"/>
      <c r="D64" s="30" t="s">
        <v>246</v>
      </c>
      <c r="E64" s="30" t="s">
        <v>247</v>
      </c>
    </row>
    <row r="65" spans="1:5" x14ac:dyDescent="0.25">
      <c r="A65" s="129"/>
      <c r="B65" s="129"/>
      <c r="C65" s="129"/>
      <c r="D65" s="28"/>
      <c r="E65" s="30"/>
    </row>
    <row r="66" spans="1:5" ht="25.5" x14ac:dyDescent="0.25">
      <c r="A66" s="129"/>
      <c r="B66" s="134"/>
      <c r="C66" s="129"/>
      <c r="D66" s="31" t="s">
        <v>248</v>
      </c>
      <c r="E66" s="32" t="s">
        <v>249</v>
      </c>
    </row>
    <row r="67" spans="1:5" ht="12.75" customHeight="1" x14ac:dyDescent="0.25">
      <c r="A67" s="129" t="s">
        <v>156</v>
      </c>
      <c r="B67" s="134"/>
      <c r="C67" s="129" t="s">
        <v>109</v>
      </c>
      <c r="D67" s="28" t="s">
        <v>250</v>
      </c>
      <c r="E67" s="34" t="s">
        <v>251</v>
      </c>
    </row>
    <row r="68" spans="1:5" x14ac:dyDescent="0.25">
      <c r="A68" s="129"/>
      <c r="B68" s="129"/>
      <c r="C68" s="129"/>
      <c r="D68" s="28" t="s">
        <v>252</v>
      </c>
      <c r="E68" s="30" t="s">
        <v>253</v>
      </c>
    </row>
    <row r="69" spans="1:5" x14ac:dyDescent="0.25">
      <c r="A69" s="129"/>
      <c r="B69" s="134"/>
      <c r="C69" s="129"/>
      <c r="D69" s="31" t="s">
        <v>254</v>
      </c>
      <c r="E69" s="35" t="s">
        <v>255</v>
      </c>
    </row>
    <row r="70" spans="1:5" ht="26.25" customHeight="1" x14ac:dyDescent="0.25">
      <c r="A70" s="32" t="s">
        <v>156</v>
      </c>
      <c r="B70" s="134" t="s">
        <v>81</v>
      </c>
      <c r="C70" s="31" t="s">
        <v>56</v>
      </c>
      <c r="D70" s="31" t="s">
        <v>238</v>
      </c>
      <c r="E70" s="27" t="s">
        <v>239</v>
      </c>
    </row>
    <row r="71" spans="1:5" ht="12.75" customHeight="1" x14ac:dyDescent="0.25">
      <c r="A71" s="129" t="s">
        <v>156</v>
      </c>
      <c r="B71" s="134"/>
      <c r="C71" s="129" t="s">
        <v>108</v>
      </c>
      <c r="D71" s="40" t="s">
        <v>240</v>
      </c>
      <c r="E71" s="34" t="s">
        <v>241</v>
      </c>
    </row>
    <row r="72" spans="1:5" x14ac:dyDescent="0.25">
      <c r="A72" s="129"/>
      <c r="B72" s="129"/>
      <c r="C72" s="129"/>
      <c r="D72" s="30" t="s">
        <v>242</v>
      </c>
      <c r="E72" s="30" t="s">
        <v>243</v>
      </c>
    </row>
    <row r="73" spans="1:5" x14ac:dyDescent="0.25">
      <c r="A73" s="129"/>
      <c r="B73" s="129"/>
      <c r="C73" s="129"/>
      <c r="D73" s="30" t="s">
        <v>244</v>
      </c>
      <c r="E73" s="30" t="s">
        <v>245</v>
      </c>
    </row>
    <row r="74" spans="1:5" x14ac:dyDescent="0.25">
      <c r="A74" s="129"/>
      <c r="B74" s="129"/>
      <c r="C74" s="129"/>
      <c r="D74" s="30" t="s">
        <v>246</v>
      </c>
      <c r="E74" s="30" t="s">
        <v>247</v>
      </c>
    </row>
    <row r="75" spans="1:5" x14ac:dyDescent="0.25">
      <c r="A75" s="129"/>
      <c r="B75" s="129"/>
      <c r="C75" s="129"/>
      <c r="D75" s="28"/>
      <c r="E75" s="30"/>
    </row>
    <row r="76" spans="1:5" ht="25.5" x14ac:dyDescent="0.25">
      <c r="A76" s="129"/>
      <c r="B76" s="134"/>
      <c r="C76" s="129"/>
      <c r="D76" s="31" t="s">
        <v>248</v>
      </c>
      <c r="E76" s="32" t="s">
        <v>249</v>
      </c>
    </row>
    <row r="77" spans="1:5" ht="12.75" customHeight="1" x14ac:dyDescent="0.25">
      <c r="A77" s="129" t="s">
        <v>156</v>
      </c>
      <c r="B77" s="134"/>
      <c r="C77" s="129" t="s">
        <v>109</v>
      </c>
      <c r="D77" s="28" t="s">
        <v>250</v>
      </c>
      <c r="E77" s="34" t="s">
        <v>251</v>
      </c>
    </row>
    <row r="78" spans="1:5" x14ac:dyDescent="0.25">
      <c r="A78" s="129"/>
      <c r="B78" s="129"/>
      <c r="C78" s="129"/>
      <c r="D78" s="28" t="s">
        <v>252</v>
      </c>
      <c r="E78" s="30" t="s">
        <v>253</v>
      </c>
    </row>
    <row r="79" spans="1:5" x14ac:dyDescent="0.25">
      <c r="A79" s="129"/>
      <c r="B79" s="134"/>
      <c r="C79" s="129"/>
      <c r="D79" s="31" t="s">
        <v>254</v>
      </c>
      <c r="E79" s="35" t="s">
        <v>255</v>
      </c>
    </row>
    <row r="80" spans="1:5" ht="12.75" customHeight="1" x14ac:dyDescent="0.25">
      <c r="A80" s="129" t="s">
        <v>156</v>
      </c>
      <c r="B80" s="129" t="s">
        <v>258</v>
      </c>
      <c r="C80" s="129"/>
      <c r="D80" s="28" t="s">
        <v>259</v>
      </c>
      <c r="E80" s="34" t="s">
        <v>260</v>
      </c>
    </row>
    <row r="81" spans="1:5" x14ac:dyDescent="0.25">
      <c r="A81" s="129"/>
      <c r="B81" s="129"/>
      <c r="C81" s="129"/>
      <c r="D81" s="28" t="s">
        <v>261</v>
      </c>
      <c r="E81" s="30" t="s">
        <v>262</v>
      </c>
    </row>
    <row r="82" spans="1:5" x14ac:dyDescent="0.25">
      <c r="A82" s="129"/>
      <c r="B82" s="129"/>
      <c r="C82" s="129"/>
      <c r="D82" s="28" t="s">
        <v>263</v>
      </c>
      <c r="E82" s="30" t="s">
        <v>264</v>
      </c>
    </row>
    <row r="83" spans="1:5" x14ac:dyDescent="0.25">
      <c r="A83" s="129"/>
      <c r="B83" s="129"/>
      <c r="C83" s="129"/>
      <c r="D83" s="28" t="s">
        <v>265</v>
      </c>
      <c r="E83" s="30" t="s">
        <v>266</v>
      </c>
    </row>
    <row r="84" spans="1:5" x14ac:dyDescent="0.25">
      <c r="A84" s="129"/>
      <c r="B84" s="129"/>
      <c r="C84" s="129"/>
      <c r="D84" s="28" t="s">
        <v>267</v>
      </c>
      <c r="E84" s="30" t="s">
        <v>268</v>
      </c>
    </row>
    <row r="85" spans="1:5" x14ac:dyDescent="0.25">
      <c r="A85" s="129"/>
      <c r="B85" s="129"/>
      <c r="C85" s="129"/>
      <c r="D85" s="31" t="s">
        <v>269</v>
      </c>
      <c r="E85" s="35" t="s">
        <v>270</v>
      </c>
    </row>
    <row r="86" spans="1:5" ht="51.75" customHeight="1" x14ac:dyDescent="0.25">
      <c r="A86" s="32" t="s">
        <v>156</v>
      </c>
      <c r="B86" s="129" t="s">
        <v>74</v>
      </c>
      <c r="C86" s="129"/>
      <c r="D86" s="31" t="s">
        <v>271</v>
      </c>
      <c r="E86" s="27" t="s">
        <v>272</v>
      </c>
    </row>
    <row r="87" spans="1:5" ht="26.25" customHeight="1" x14ac:dyDescent="0.25">
      <c r="A87" s="32" t="s">
        <v>156</v>
      </c>
      <c r="B87" s="134" t="s">
        <v>83</v>
      </c>
      <c r="C87" s="31" t="s">
        <v>56</v>
      </c>
      <c r="D87" s="31" t="s">
        <v>238</v>
      </c>
      <c r="E87" s="27" t="s">
        <v>239</v>
      </c>
    </row>
    <row r="88" spans="1:5" ht="12.75" customHeight="1" x14ac:dyDescent="0.25">
      <c r="A88" s="129" t="s">
        <v>156</v>
      </c>
      <c r="B88" s="134"/>
      <c r="C88" s="129" t="s">
        <v>108</v>
      </c>
      <c r="D88" s="40" t="s">
        <v>240</v>
      </c>
      <c r="E88" s="34" t="s">
        <v>241</v>
      </c>
    </row>
    <row r="89" spans="1:5" x14ac:dyDescent="0.25">
      <c r="A89" s="129"/>
      <c r="B89" s="129"/>
      <c r="C89" s="129"/>
      <c r="D89" s="30" t="s">
        <v>242</v>
      </c>
      <c r="E89" s="30" t="s">
        <v>243</v>
      </c>
    </row>
    <row r="90" spans="1:5" x14ac:dyDescent="0.25">
      <c r="A90" s="129"/>
      <c r="B90" s="129"/>
      <c r="C90" s="129"/>
      <c r="D90" s="30" t="s">
        <v>244</v>
      </c>
      <c r="E90" s="30" t="s">
        <v>245</v>
      </c>
    </row>
    <row r="91" spans="1:5" x14ac:dyDescent="0.25">
      <c r="A91" s="129"/>
      <c r="B91" s="129"/>
      <c r="C91" s="129"/>
      <c r="D91" s="30" t="s">
        <v>246</v>
      </c>
      <c r="E91" s="30" t="s">
        <v>247</v>
      </c>
    </row>
    <row r="92" spans="1:5" x14ac:dyDescent="0.25">
      <c r="A92" s="129"/>
      <c r="B92" s="129"/>
      <c r="C92" s="129"/>
      <c r="D92" s="28"/>
      <c r="E92" s="30"/>
    </row>
    <row r="93" spans="1:5" ht="25.5" x14ac:dyDescent="0.25">
      <c r="A93" s="129"/>
      <c r="B93" s="134"/>
      <c r="C93" s="129"/>
      <c r="D93" s="31" t="s">
        <v>248</v>
      </c>
      <c r="E93" s="32" t="s">
        <v>249</v>
      </c>
    </row>
    <row r="94" spans="1:5" ht="12.75" customHeight="1" x14ac:dyDescent="0.25">
      <c r="A94" s="129" t="s">
        <v>156</v>
      </c>
      <c r="B94" s="134"/>
      <c r="C94" s="129" t="s">
        <v>109</v>
      </c>
      <c r="D94" s="28" t="s">
        <v>250</v>
      </c>
      <c r="E94" s="34" t="s">
        <v>251</v>
      </c>
    </row>
    <row r="95" spans="1:5" x14ac:dyDescent="0.25">
      <c r="A95" s="129"/>
      <c r="B95" s="129"/>
      <c r="C95" s="129"/>
      <c r="D95" s="28" t="s">
        <v>252</v>
      </c>
      <c r="E95" s="30" t="s">
        <v>253</v>
      </c>
    </row>
    <row r="96" spans="1:5" x14ac:dyDescent="0.25">
      <c r="A96" s="129"/>
      <c r="B96" s="134"/>
      <c r="C96" s="129"/>
      <c r="D96" s="31" t="s">
        <v>254</v>
      </c>
      <c r="E96" s="35" t="s">
        <v>255</v>
      </c>
    </row>
    <row r="97" spans="1:5" ht="26.25" customHeight="1" x14ac:dyDescent="0.25">
      <c r="A97" s="32" t="s">
        <v>156</v>
      </c>
      <c r="B97" s="134" t="s">
        <v>84</v>
      </c>
      <c r="C97" s="31" t="s">
        <v>56</v>
      </c>
      <c r="D97" s="31" t="s">
        <v>238</v>
      </c>
      <c r="E97" s="27" t="s">
        <v>239</v>
      </c>
    </row>
    <row r="98" spans="1:5" ht="12.75" customHeight="1" x14ac:dyDescent="0.25">
      <c r="A98" s="129" t="s">
        <v>156</v>
      </c>
      <c r="B98" s="134"/>
      <c r="C98" s="129" t="s">
        <v>108</v>
      </c>
      <c r="D98" s="40" t="s">
        <v>240</v>
      </c>
      <c r="E98" s="34" t="s">
        <v>241</v>
      </c>
    </row>
    <row r="99" spans="1:5" x14ac:dyDescent="0.25">
      <c r="A99" s="129"/>
      <c r="B99" s="129"/>
      <c r="C99" s="129"/>
      <c r="D99" s="30" t="s">
        <v>242</v>
      </c>
      <c r="E99" s="30" t="s">
        <v>243</v>
      </c>
    </row>
    <row r="100" spans="1:5" x14ac:dyDescent="0.25">
      <c r="A100" s="129"/>
      <c r="B100" s="129"/>
      <c r="C100" s="129"/>
      <c r="D100" s="30" t="s">
        <v>244</v>
      </c>
      <c r="E100" s="30" t="s">
        <v>245</v>
      </c>
    </row>
    <row r="101" spans="1:5" x14ac:dyDescent="0.25">
      <c r="A101" s="129"/>
      <c r="B101" s="129"/>
      <c r="C101" s="129"/>
      <c r="D101" s="30" t="s">
        <v>246</v>
      </c>
      <c r="E101" s="30" t="s">
        <v>247</v>
      </c>
    </row>
    <row r="102" spans="1:5" x14ac:dyDescent="0.25">
      <c r="A102" s="129"/>
      <c r="B102" s="129"/>
      <c r="C102" s="129"/>
      <c r="D102" s="28"/>
      <c r="E102" s="30"/>
    </row>
    <row r="103" spans="1:5" ht="25.5" x14ac:dyDescent="0.25">
      <c r="A103" s="129"/>
      <c r="B103" s="134"/>
      <c r="C103" s="129"/>
      <c r="D103" s="31" t="s">
        <v>248</v>
      </c>
      <c r="E103" s="32" t="s">
        <v>249</v>
      </c>
    </row>
    <row r="104" spans="1:5" ht="12.75" customHeight="1" x14ac:dyDescent="0.25">
      <c r="A104" s="129" t="s">
        <v>156</v>
      </c>
      <c r="B104" s="134"/>
      <c r="C104" s="129" t="s">
        <v>109</v>
      </c>
      <c r="D104" s="28" t="s">
        <v>250</v>
      </c>
      <c r="E104" s="34" t="s">
        <v>251</v>
      </c>
    </row>
    <row r="105" spans="1:5" x14ac:dyDescent="0.25">
      <c r="A105" s="129"/>
      <c r="B105" s="129"/>
      <c r="C105" s="129"/>
      <c r="D105" s="28" t="s">
        <v>252</v>
      </c>
      <c r="E105" s="30" t="s">
        <v>253</v>
      </c>
    </row>
    <row r="106" spans="1:5" x14ac:dyDescent="0.25">
      <c r="A106" s="129"/>
      <c r="B106" s="134"/>
      <c r="C106" s="129"/>
      <c r="D106" s="31" t="s">
        <v>254</v>
      </c>
      <c r="E106" s="35" t="s">
        <v>255</v>
      </c>
    </row>
    <row r="107" spans="1:5" ht="26.25" customHeight="1" x14ac:dyDescent="0.25">
      <c r="A107" s="32" t="s">
        <v>156</v>
      </c>
      <c r="B107" s="129" t="s">
        <v>273</v>
      </c>
      <c r="C107" s="129"/>
      <c r="D107" s="31" t="s">
        <v>274</v>
      </c>
      <c r="E107" s="27" t="s">
        <v>275</v>
      </c>
    </row>
    <row r="108" spans="1:5" ht="26.25" customHeight="1" x14ac:dyDescent="0.25">
      <c r="A108" s="32" t="s">
        <v>156</v>
      </c>
      <c r="B108" s="129" t="s">
        <v>276</v>
      </c>
      <c r="C108" s="129"/>
      <c r="D108" s="31" t="s">
        <v>277</v>
      </c>
      <c r="E108" s="27" t="s">
        <v>278</v>
      </c>
    </row>
    <row r="109" spans="1:5" ht="26.25" customHeight="1" x14ac:dyDescent="0.25">
      <c r="A109" s="32" t="s">
        <v>156</v>
      </c>
      <c r="B109" s="129" t="s">
        <v>279</v>
      </c>
      <c r="C109" s="129"/>
      <c r="D109" s="31" t="s">
        <v>280</v>
      </c>
      <c r="E109" s="27" t="s">
        <v>281</v>
      </c>
    </row>
    <row r="110" spans="1:5" ht="25.5" customHeight="1" x14ac:dyDescent="0.25">
      <c r="A110" s="129" t="s">
        <v>156</v>
      </c>
      <c r="B110" s="135" t="s">
        <v>51</v>
      </c>
      <c r="C110" s="135"/>
      <c r="D110" s="39" t="s">
        <v>282</v>
      </c>
      <c r="E110" s="29" t="s">
        <v>283</v>
      </c>
    </row>
    <row r="111" spans="1:5" x14ac:dyDescent="0.25">
      <c r="A111" s="129"/>
      <c r="B111" s="135"/>
      <c r="C111" s="135"/>
      <c r="D111" s="41"/>
      <c r="E111" s="30"/>
    </row>
    <row r="112" spans="1:5" x14ac:dyDescent="0.25">
      <c r="A112" s="129"/>
      <c r="B112" s="135"/>
      <c r="C112" s="135"/>
      <c r="D112" s="42" t="s">
        <v>284</v>
      </c>
      <c r="E112" s="30" t="s">
        <v>285</v>
      </c>
    </row>
    <row r="113" spans="1:1024" x14ac:dyDescent="0.25">
      <c r="A113" s="129"/>
      <c r="B113" s="135"/>
      <c r="C113" s="135"/>
      <c r="D113" s="42" t="s">
        <v>286</v>
      </c>
      <c r="E113" s="30" t="s">
        <v>287</v>
      </c>
    </row>
    <row r="114" spans="1:1024" x14ac:dyDescent="0.25">
      <c r="A114" s="129"/>
      <c r="B114" s="135"/>
      <c r="C114" s="135"/>
      <c r="D114" s="42" t="s">
        <v>288</v>
      </c>
      <c r="E114" s="30" t="s">
        <v>289</v>
      </c>
    </row>
    <row r="115" spans="1:1024" x14ac:dyDescent="0.25">
      <c r="A115" s="129"/>
      <c r="B115" s="135"/>
      <c r="C115" s="135"/>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36" t="s">
        <v>62</v>
      </c>
      <c r="C118" s="136"/>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36" t="s">
        <v>62</v>
      </c>
      <c r="IY118" s="136"/>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36" t="s">
        <v>62</v>
      </c>
      <c r="SU118" s="136"/>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36" t="s">
        <v>62</v>
      </c>
      <c r="ACQ118" s="136"/>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29" t="s">
        <v>298</v>
      </c>
      <c r="C119" s="129"/>
      <c r="D119" s="31" t="s">
        <v>299</v>
      </c>
      <c r="E119" s="27" t="s">
        <v>300</v>
      </c>
    </row>
    <row r="120" spans="1:1024" ht="13.5" customHeight="1" x14ac:dyDescent="0.25">
      <c r="A120" s="32" t="s">
        <v>156</v>
      </c>
      <c r="B120" s="129" t="s">
        <v>301</v>
      </c>
      <c r="C120" s="31" t="s">
        <v>101</v>
      </c>
      <c r="D120" s="31" t="s">
        <v>302</v>
      </c>
      <c r="E120" s="33" t="s">
        <v>303</v>
      </c>
    </row>
    <row r="121" spans="1:1024" x14ac:dyDescent="0.25">
      <c r="A121" s="32" t="s">
        <v>156</v>
      </c>
      <c r="B121" s="129"/>
      <c r="C121" s="31" t="s">
        <v>102</v>
      </c>
      <c r="D121" s="31" t="s">
        <v>304</v>
      </c>
      <c r="E121" s="33" t="s">
        <v>305</v>
      </c>
    </row>
    <row r="122" spans="1:1024" ht="13.5" customHeight="1" x14ac:dyDescent="0.25">
      <c r="A122" s="32" t="s">
        <v>156</v>
      </c>
      <c r="B122" s="129" t="s">
        <v>306</v>
      </c>
      <c r="C122" s="129"/>
      <c r="D122" s="31" t="s">
        <v>307</v>
      </c>
      <c r="E122" s="33" t="s">
        <v>308</v>
      </c>
    </row>
    <row r="123" spans="1:1024" ht="77.25" customHeight="1" x14ac:dyDescent="0.25">
      <c r="A123" s="32" t="s">
        <v>156</v>
      </c>
      <c r="B123" s="129" t="s">
        <v>72</v>
      </c>
      <c r="C123" s="129"/>
      <c r="D123" s="31" t="s">
        <v>309</v>
      </c>
      <c r="E123" s="27" t="s">
        <v>310</v>
      </c>
    </row>
    <row r="124" spans="1:1024" ht="39" customHeight="1" x14ac:dyDescent="0.25">
      <c r="A124" s="27" t="s">
        <v>156</v>
      </c>
      <c r="B124" s="130" t="s">
        <v>57</v>
      </c>
      <c r="C124" s="130"/>
      <c r="D124" s="27" t="s">
        <v>311</v>
      </c>
      <c r="E124" s="29" t="s">
        <v>312</v>
      </c>
    </row>
    <row r="125" spans="1:1024" ht="26.25" customHeight="1" x14ac:dyDescent="0.25">
      <c r="A125" s="32" t="s">
        <v>156</v>
      </c>
      <c r="B125" s="129" t="s">
        <v>56</v>
      </c>
      <c r="C125" s="129"/>
      <c r="D125" s="27" t="s">
        <v>313</v>
      </c>
      <c r="E125" s="27" t="s">
        <v>314</v>
      </c>
    </row>
    <row r="126" spans="1:1024" ht="26.25" customHeight="1" x14ac:dyDescent="0.25">
      <c r="A126" s="32" t="s">
        <v>156</v>
      </c>
      <c r="B126" s="129" t="s">
        <v>54</v>
      </c>
      <c r="C126" s="129"/>
      <c r="D126" s="27" t="s">
        <v>315</v>
      </c>
      <c r="E126" s="27" t="s">
        <v>316</v>
      </c>
    </row>
    <row r="127" spans="1:1024" ht="26.25" customHeight="1" x14ac:dyDescent="0.25">
      <c r="A127" s="32" t="s">
        <v>156</v>
      </c>
      <c r="B127" s="129" t="s">
        <v>55</v>
      </c>
      <c r="C127" s="129"/>
      <c r="D127" s="27" t="s">
        <v>317</v>
      </c>
      <c r="E127" s="27" t="s">
        <v>318</v>
      </c>
    </row>
    <row r="128" spans="1:1024" ht="25.5" customHeight="1" x14ac:dyDescent="0.25">
      <c r="A128" s="129" t="s">
        <v>156</v>
      </c>
      <c r="B128" s="129" t="s">
        <v>53</v>
      </c>
      <c r="C128" s="129"/>
      <c r="D128" s="28" t="s">
        <v>319</v>
      </c>
      <c r="E128" s="48" t="s">
        <v>320</v>
      </c>
    </row>
    <row r="129" spans="1:5" x14ac:dyDescent="0.25">
      <c r="A129" s="129"/>
      <c r="B129" s="129"/>
      <c r="C129" s="129"/>
      <c r="D129" s="28"/>
      <c r="E129" s="30"/>
    </row>
    <row r="130" spans="1:5" x14ac:dyDescent="0.25">
      <c r="A130" s="129"/>
      <c r="B130" s="129"/>
      <c r="C130" s="129"/>
      <c r="D130" s="28" t="s">
        <v>321</v>
      </c>
      <c r="E130" s="30" t="s">
        <v>322</v>
      </c>
    </row>
    <row r="131" spans="1:5" x14ac:dyDescent="0.25">
      <c r="A131" s="129"/>
      <c r="B131" s="129"/>
      <c r="C131" s="129"/>
      <c r="D131" s="28" t="s">
        <v>323</v>
      </c>
      <c r="E131" s="30" t="s">
        <v>324</v>
      </c>
    </row>
    <row r="132" spans="1:5" x14ac:dyDescent="0.25">
      <c r="A132" s="129"/>
      <c r="B132" s="129"/>
      <c r="C132" s="129"/>
      <c r="D132" s="28" t="s">
        <v>325</v>
      </c>
      <c r="E132" s="30" t="s">
        <v>326</v>
      </c>
    </row>
    <row r="133" spans="1:5" x14ac:dyDescent="0.25">
      <c r="A133" s="129"/>
      <c r="B133" s="129"/>
      <c r="C133" s="129"/>
      <c r="D133" s="31" t="s">
        <v>327</v>
      </c>
      <c r="E133" s="35" t="s">
        <v>328</v>
      </c>
    </row>
    <row r="134" spans="1:5" ht="13.5" customHeight="1" x14ac:dyDescent="0.25">
      <c r="A134" s="32" t="s">
        <v>179</v>
      </c>
      <c r="B134" s="129" t="s">
        <v>89</v>
      </c>
      <c r="C134" s="129"/>
      <c r="D134" s="31" t="s">
        <v>329</v>
      </c>
      <c r="E134" s="33" t="s">
        <v>330</v>
      </c>
    </row>
    <row r="135" spans="1:5" ht="13.5" customHeight="1" x14ac:dyDescent="0.25">
      <c r="A135" s="32" t="s">
        <v>156</v>
      </c>
      <c r="B135" s="129" t="s">
        <v>66</v>
      </c>
      <c r="C135" s="129"/>
      <c r="D135" s="31" t="s">
        <v>331</v>
      </c>
      <c r="E135" s="33" t="s">
        <v>332</v>
      </c>
    </row>
    <row r="136" spans="1:5" ht="39" customHeight="1" x14ac:dyDescent="0.25">
      <c r="A136" s="32" t="s">
        <v>156</v>
      </c>
      <c r="B136" s="129" t="s">
        <v>333</v>
      </c>
      <c r="C136" s="129"/>
      <c r="D136" s="31" t="s">
        <v>334</v>
      </c>
      <c r="E136" s="27" t="s">
        <v>335</v>
      </c>
    </row>
    <row r="137" spans="1:5" ht="26.25" customHeight="1" x14ac:dyDescent="0.25">
      <c r="A137" s="32" t="s">
        <v>179</v>
      </c>
      <c r="B137" s="129" t="s">
        <v>88</v>
      </c>
      <c r="C137" s="129"/>
      <c r="D137" s="31" t="s">
        <v>336</v>
      </c>
      <c r="E137" s="27" t="s">
        <v>337</v>
      </c>
    </row>
    <row r="138" spans="1:5" ht="13.5" customHeight="1" x14ac:dyDescent="0.25">
      <c r="A138" s="32" t="s">
        <v>179</v>
      </c>
      <c r="B138" s="129" t="s">
        <v>58</v>
      </c>
      <c r="C138" s="129"/>
      <c r="D138" s="31" t="s">
        <v>338</v>
      </c>
      <c r="E138" s="27" t="s">
        <v>339</v>
      </c>
    </row>
    <row r="140" spans="1:5" ht="118.5" customHeight="1" x14ac:dyDescent="0.25">
      <c r="A140" s="130" t="s">
        <v>340</v>
      </c>
      <c r="B140" s="130"/>
      <c r="C140" s="130"/>
      <c r="D140" s="130"/>
      <c r="E140" s="27" t="s">
        <v>341</v>
      </c>
    </row>
    <row r="142" spans="1:5" x14ac:dyDescent="0.25">
      <c r="A142" s="23" t="s">
        <v>342</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2025-12-18T07:21:44Z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